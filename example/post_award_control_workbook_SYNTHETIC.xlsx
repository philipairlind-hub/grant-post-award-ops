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Needs attention" sheetId="2" r:id="rId2"/>
    <sheet name="Payments" sheetId="3" r:id="rId3"/>
    <sheet name="Grant register" sheetId="4" r:id="rId4"/>
    <sheet name="Data questions" sheetId="5" r:id="rId5"/>
    <sheet name="How to use" sheetId="6" r:id="rId6"/>
  </sheets>
  <definedNames>
    <definedName name="_xlnm._FilterDatabase" localSheetId="3" hidden="1">'Grant register'!$A$1:$X$20</definedName>
    <definedName name="_xlnm._FilterDatabase" localSheetId="1" hidden="1">'Needs attention'!$A$3:$M$34</definedName>
    <definedName name="_xlnm._FilterDatabase" localSheetId="2" hidden="1">Payments!$A$1:$K$32</definedName>
  </definedNames>
  <calcPr calcId="124519" fullCalcOnLoad="1"/>
</workbook>
</file>

<file path=xl/sharedStrings.xml><?xml version="1.0" encoding="utf-8"?>
<sst xmlns="http://schemas.openxmlformats.org/spreadsheetml/2006/main" count="821" uniqueCount="331">
  <si>
    <t>Grant ref</t>
  </si>
  <si>
    <t>Recipient</t>
  </si>
  <si>
    <t>Reg. no.</t>
  </si>
  <si>
    <t>Fund</t>
  </si>
  <si>
    <t>Owner</t>
  </si>
  <si>
    <t>Awarded £</t>
  </si>
  <si>
    <t>Paid to date £</t>
  </si>
  <si>
    <t>Award date</t>
  </si>
  <si>
    <t>End date</t>
  </si>
  <si>
    <t>Agreement signed</t>
  </si>
  <si>
    <t>DD last checked</t>
  </si>
  <si>
    <t>Conditions</t>
  </si>
  <si>
    <t>Conditions met?</t>
  </si>
  <si>
    <t>Interim report due</t>
  </si>
  <si>
    <t>Interim received</t>
  </si>
  <si>
    <t>Final report due</t>
  </si>
  <si>
    <t>Final received</t>
  </si>
  <si>
    <t>Evidence required</t>
  </si>
  <si>
    <t>Evidence status</t>
  </si>
  <si>
    <t>Report status</t>
  </si>
  <si>
    <t>Payments</t>
  </si>
  <si>
    <t>Checks</t>
  </si>
  <si>
    <t>Needs attention?</t>
  </si>
  <si>
    <t>Notes</t>
  </si>
  <si>
    <t>CF-2025-014</t>
  </si>
  <si>
    <t>Harbour Youth Project CIO</t>
  </si>
  <si>
    <t>1181234</t>
  </si>
  <si>
    <t>Community Fund</t>
  </si>
  <si>
    <t>Sarah J</t>
  </si>
  <si>
    <t>yes</t>
  </si>
  <si>
    <t>Restricted to youth skills delivery</t>
  </si>
  <si>
    <t>Yes</t>
  </si>
  <si>
    <t>receipts for tranche 1 spend - not yet</t>
  </si>
  <si>
    <t>Missing</t>
  </si>
  <si>
    <t>chased for receipts 16/9</t>
  </si>
  <si>
    <t>CF-2025-009</t>
  </si>
  <si>
    <t>Harbour Youth Proj.</t>
  </si>
  <si>
    <t>YM25/03</t>
  </si>
  <si>
    <t>Northgate Music Collective</t>
  </si>
  <si>
    <t>1190001</t>
  </si>
  <si>
    <t>Youth Music</t>
  </si>
  <si>
    <t>Tom B</t>
  </si>
  <si>
    <t>DBS checks for tutors confirmed before term 2</t>
  </si>
  <si>
    <t>No</t>
  </si>
  <si>
    <t>chased 2x, new coordinator started Aug</t>
  </si>
  <si>
    <t>YM25/05</t>
  </si>
  <si>
    <t>St Anne's Community Choir</t>
  </si>
  <si>
    <t>paid before agreement returned?? check</t>
  </si>
  <si>
    <t>CAP-7</t>
  </si>
  <si>
    <t>Riverside Scout Group</t>
  </si>
  <si>
    <t>1100456</t>
  </si>
  <si>
    <t>Capital Grants</t>
  </si>
  <si>
    <t>Priya K</t>
  </si>
  <si>
    <t>Planning permission evidence before tranche 3</t>
  </si>
  <si>
    <t>contractor invoices - some received</t>
  </si>
  <si>
    <t>Partial</t>
  </si>
  <si>
    <t>CAP-8</t>
  </si>
  <si>
    <t>Eastfield Village Hall</t>
  </si>
  <si>
    <t>1123456</t>
  </si>
  <si>
    <t>completion certificate + photos</t>
  </si>
  <si>
    <t>bank details changed - verify before next payment!</t>
  </si>
  <si>
    <t>HF-101</t>
  </si>
  <si>
    <t>Mercy Street Food Bank</t>
  </si>
  <si>
    <t>1170777</t>
  </si>
  <si>
    <t>Hardship Fund</t>
  </si>
  <si>
    <t>HF-102</t>
  </si>
  <si>
    <t>CF-2026-002</t>
  </si>
  <si>
    <t>Lanterns Mental Health Peer Support</t>
  </si>
  <si>
    <t>1201122</t>
  </si>
  <si>
    <t>interim report fine - T2 to go to Oct trustees?</t>
  </si>
  <si>
    <t>CF-2026-005</t>
  </si>
  <si>
    <t>Greenway Allotment Society</t>
  </si>
  <si>
    <t>photos of new raised beds</t>
  </si>
  <si>
    <t>CF-2026-007</t>
  </si>
  <si>
    <t>Kids Code Club Northbridge</t>
  </si>
  <si>
    <t>1195555</t>
  </si>
  <si>
    <t>YM26/01</t>
  </si>
  <si>
    <t>Brass for All</t>
  </si>
  <si>
    <t>1150333</t>
  </si>
  <si>
    <t>Spring termly report by 15/01/2027 before the February payment</t>
  </si>
  <si>
    <t>YM26/02</t>
  </si>
  <si>
    <t>The Beat Box Studio CIC</t>
  </si>
  <si>
    <t>CIC12345678</t>
  </si>
  <si>
    <t>Safeguarding policy to be provided within 3 months (by 20/09/2026)</t>
  </si>
  <si>
    <t>CAP-9</t>
  </si>
  <si>
    <t>Hilltop Community Cafe</t>
  </si>
  <si>
    <t>1188888</t>
  </si>
  <si>
    <t>invoices received</t>
  </si>
  <si>
    <t>Received</t>
  </si>
  <si>
    <t>all done?</t>
  </si>
  <si>
    <t>HF-103</t>
  </si>
  <si>
    <t>Westside Refugee Welcome</t>
  </si>
  <si>
    <t>1177777</t>
  </si>
  <si>
    <t>urgent award - DD to follow</t>
  </si>
  <si>
    <t>CF-2025-021</t>
  </si>
  <si>
    <t>Oakfield Carers Network</t>
  </si>
  <si>
    <t>1166666</t>
  </si>
  <si>
    <t>received with interim</t>
  </si>
  <si>
    <t>CF-2025-022</t>
  </si>
  <si>
    <t>Northbridge Men's Shed</t>
  </si>
  <si>
    <t>1160000</t>
  </si>
  <si>
    <t>YM25/09</t>
  </si>
  <si>
    <t>Rhythm &amp; Roots Drumming</t>
  </si>
  <si>
    <t>project paused - lead worker on leave; extension agreed?? no record</t>
  </si>
  <si>
    <t>CAP-10</t>
  </si>
  <si>
    <t>quote for ramp received 02/09/2026</t>
  </si>
  <si>
    <t>Tranche</t>
  </si>
  <si>
    <t>Amount £</t>
  </si>
  <si>
    <t>Due date</t>
  </si>
  <si>
    <t>Released when</t>
  </si>
  <si>
    <t>Release condition met?</t>
  </si>
  <si>
    <t>Bank details check</t>
  </si>
  <si>
    <t>Paid (date)</t>
  </si>
  <si>
    <t>Status</t>
  </si>
  <si>
    <t>Days late</t>
  </si>
  <si>
    <t>Agreement</t>
  </si>
  <si>
    <t>OK</t>
  </si>
  <si>
    <t>Interim report + evidence</t>
  </si>
  <si>
    <t>Interim report</t>
  </si>
  <si>
    <t>Condition</t>
  </si>
  <si>
    <t>Evidence</t>
  </si>
  <si>
    <t>Verify</t>
  </si>
  <si>
    <t>Final report</t>
  </si>
  <si>
    <t>Needs attention — as at 28 Sep 2026 (tick Done as you clear items)</t>
  </si>
  <si>
    <t>Priority</t>
  </si>
  <si>
    <t>Issue</t>
  </si>
  <si>
    <t>Detail</t>
  </si>
  <si>
    <t>Date</t>
  </si>
  <si>
    <t>£</t>
  </si>
  <si>
    <t>Next action</t>
  </si>
  <si>
    <t>Done?</t>
  </si>
  <si>
    <t>Your notes</t>
  </si>
  <si>
    <t>High</t>
  </si>
  <si>
    <t>Payment on hold: bank details changed</t>
  </si>
  <si>
    <t>Tranche 1 (£3,500): notes say bank details changed</t>
  </si>
  <si>
    <t>Verify the new bank details by phone on a number you already hold before paying</t>
  </si>
  <si>
    <t>Tranche 2 (£9,000): notes say bank details changed</t>
  </si>
  <si>
    <t>Paid before agreement recorded</t>
  </si>
  <si>
    <t>£3,000 paid; no signed agreement on file</t>
  </si>
  <si>
    <t>Obtain the signed agreement and file it</t>
  </si>
  <si>
    <t>Due diligence not recorded</t>
  </si>
  <si>
    <t>£3,000 paid with no check recorded</t>
  </si>
  <si>
    <t>Complete the recipient check and record the date and source</t>
  </si>
  <si>
    <t>Payment late</t>
  </si>
  <si>
    <t>Tranche 2 (£15,000) was due 10 Sep 2026; release conditions are met</t>
  </si>
  <si>
    <t>Approve and pay, or record why it is held</t>
  </si>
  <si>
    <t>Condition overdue</t>
  </si>
  <si>
    <t>Chase, or record an agreed extension</t>
  </si>
  <si>
    <t>Payment blocked</t>
  </si>
  <si>
    <t>Tranche 2 (£3,600) was due 10 May 2026; waiting for interim report</t>
  </si>
  <si>
    <t>Chase interim report; hold payment until received</t>
  </si>
  <si>
    <t>Tranche 2 (£6,250) was due 01 Sep 2026; waiting for interim report</t>
  </si>
  <si>
    <t>Tranche 1 (£1,500) due 30 Sep 2026; waiting for agreement</t>
  </si>
  <si>
    <t>Chase agreement; hold payment until received</t>
  </si>
  <si>
    <t>Tranche 3 (£20,000) due 01 Oct 2026; waiting for condition</t>
  </si>
  <si>
    <t>Chase condition; hold payment until received</t>
  </si>
  <si>
    <t>Tranche 2 (£5,000) due 01 Oct 2026; waiting for interim report</t>
  </si>
  <si>
    <t>Tranche 2 (£10,000) due 21 Oct 2026; waiting for interim report + evidence</t>
  </si>
  <si>
    <t>Chase interim report + evidence; hold payment until received</t>
  </si>
  <si>
    <t>Final report overdue</t>
  </si>
  <si>
    <t>Final report was due 01 Sep 2026</t>
  </si>
  <si>
    <t>—</t>
  </si>
  <si>
    <t>Chase the report, agree a new date or escalate</t>
  </si>
  <si>
    <t>Interim report overdue</t>
  </si>
  <si>
    <t>Interim report was due 10 Apr 2026</t>
  </si>
  <si>
    <t>Interim report was due 31 Jul 2026</t>
  </si>
  <si>
    <t>Interim report was due 15 Sep 2026</t>
  </si>
  <si>
    <t>Medium</t>
  </si>
  <si>
    <t>Due diligence out of date</t>
  </si>
  <si>
    <t>Last check 10 Jan 2025 (~20 months) before a further payment</t>
  </si>
  <si>
    <t>Refresh the check before the next payment</t>
  </si>
  <si>
    <t>Final report due soon</t>
  </si>
  <si>
    <t>Final report due 30 Sep 2026 (2 days)</t>
  </si>
  <si>
    <t>Send a reminder now</t>
  </si>
  <si>
    <t>Interim report due soon</t>
  </si>
  <si>
    <t>Interim report due 14 Oct 2026 (16 days)</t>
  </si>
  <si>
    <t>Friends of Castle Park</t>
  </si>
  <si>
    <t>Awarded but not set up</t>
  </si>
  <si>
    <t>approved at Sept trustees - letter not sent yet</t>
  </si>
  <si>
    <t>Send the award letter/agreement and create the grant record</t>
  </si>
  <si>
    <t>Condition open</t>
  </si>
  <si>
    <t>Confirm when it will be met</t>
  </si>
  <si>
    <t>Evidence partial</t>
  </si>
  <si>
    <t>Request the outstanding evidence</t>
  </si>
  <si>
    <t>Evidence missing</t>
  </si>
  <si>
    <t>Due-diligence date unknown</t>
  </si>
  <si>
    <t>Check ticked but not dated</t>
  </si>
  <si>
    <t>Record when the check was done and what was checked</t>
  </si>
  <si>
    <t>Low</t>
  </si>
  <si>
    <t>Last check 20 Sep 2025 (~12 months)</t>
  </si>
  <si>
    <t>Refresh before any new award</t>
  </si>
  <si>
    <t>Last check 25 Sep 2025 (~12 months)</t>
  </si>
  <si>
    <t>Ready to close</t>
  </si>
  <si>
    <t>Ended 30 Jun 2026; final report in; fully paid</t>
  </si>
  <si>
    <t>Close the grant and file the record</t>
  </si>
  <si>
    <t>Post-award control workbook — Northbridge Foundation (synthetic)</t>
  </si>
  <si>
    <t>Built 28 Sep 2026 from your grant list. The figures below update automatically when you edit the Grant register and Payments sheets.</t>
  </si>
  <si>
    <t>SYNTHETIC EXAMPLE — fictional organisation and data, for illustration only.</t>
  </si>
  <si>
    <t>Active grants</t>
  </si>
  <si>
    <t>Total awarded</t>
  </si>
  <si>
    <t>Paid to date</t>
  </si>
  <si>
    <t>Reports overdue</t>
  </si>
  <si>
    <t>Reports due in the next 30 days</t>
  </si>
  <si>
    <t>Payments blocked</t>
  </si>
  <si>
    <t>Value of blocked payments</t>
  </si>
  <si>
    <t>Payments ready for approval</t>
  </si>
  <si>
    <t>Grants with evidence missing or partial</t>
  </si>
  <si>
    <t>Grants with a due-diligence gap</t>
  </si>
  <si>
    <t>Open grant conditions</t>
  </si>
  <si>
    <t>Data questions for you to confirm</t>
  </si>
  <si>
    <t>Top actions (as at 28 Sep 2026)</t>
  </si>
  <si>
    <t>Grant / recipient</t>
  </si>
  <si>
    <t>Payment on hold: bank details changed: Tranche 1 (£3,500): notes say bank details changed</t>
  </si>
  <si>
    <t>CAP-10 · Eastfield Village Hall</t>
  </si>
  <si>
    <t>Verify the new bank details by phone on a number you already hold before paying (owner: Priya K)</t>
  </si>
  <si>
    <t>Payment on hold: bank details changed: Tranche 2 (£9,000): notes say bank details changed</t>
  </si>
  <si>
    <t>CAP-8 · Eastfield Village Hall</t>
  </si>
  <si>
    <t>Paid before agreement recorded: £3,000 paid; no signed agreement on file</t>
  </si>
  <si>
    <t>YM25/05 · St Anne's Community Choir</t>
  </si>
  <si>
    <t>Obtain the signed agreement and file it (owner: Tom B)</t>
  </si>
  <si>
    <t>Due diligence not recorded: £3,000 paid with no check recorded</t>
  </si>
  <si>
    <t>HF-103 · Westside Refugee Welcome</t>
  </si>
  <si>
    <t>Complete the recipient check and record the date and source (owner: Sarah J)</t>
  </si>
  <si>
    <t>Complete the recipient check and record the date and source (owner: Tom B)</t>
  </si>
  <si>
    <t>Payment late: Tranche 2 (£15,000) was due 10 Sep 2026; release conditions are met</t>
  </si>
  <si>
    <t>CF-2026-002 · Lanterns Mental Health Peer Support</t>
  </si>
  <si>
    <t>Approve and pay, or record why it is held (owner: Sarah J)</t>
  </si>
  <si>
    <t>Condition overdue: Safeguarding policy to be provided within 3 months (by 20/09/2026)</t>
  </si>
  <si>
    <t>YM26/02 · The Beat Box Studio CIC</t>
  </si>
  <si>
    <t>Chase, or record an agreed extension (owner: Tom B)</t>
  </si>
  <si>
    <t>Payment blocked: Tranche 2 (£3,600) was due 10 May 2026; waiting for interim report</t>
  </si>
  <si>
    <t>YM25/09 · Rhythm &amp; Roots Drumming</t>
  </si>
  <si>
    <t>Chase interim report; hold payment until received (owner: Tom B)</t>
  </si>
  <si>
    <t>Payment blocked: Tranche 2 (£6,250) was due 01 Sep 2026; waiting for interim report</t>
  </si>
  <si>
    <t>YM25/03 · Northgate Music Collective</t>
  </si>
  <si>
    <t>Payment blocked: Tranche 1 (£1,500) due 30 Sep 2026; waiting for agreement</t>
  </si>
  <si>
    <t>HF-102 · Mercy Street Food Bank</t>
  </si>
  <si>
    <t>Chase agreement; hold payment until received (owner: Sarah J)</t>
  </si>
  <si>
    <t>Where to look:</t>
  </si>
  <si>
    <t>• Needs attention — every issue found, highest priority first. Tick Done as you go.</t>
  </si>
  <si>
    <t>• Payments — each tranche, what releases it, and whether it is blocked or ready.</t>
  </si>
  <si>
    <t>• Grant register — one row per grant; status columns recalculate from the dates you enter.</t>
  </si>
  <si>
    <t>• Data questions — things in your export I could not be sure about. Please confirm.</t>
  </si>
  <si>
    <t>• How to use — keeping the workbook current.</t>
  </si>
  <si>
    <t>Row in your file</t>
  </si>
  <si>
    <t>Field</t>
  </si>
  <si>
    <t>Value in your file</t>
  </si>
  <si>
    <t>Question</t>
  </si>
  <si>
    <t>What I assumed</t>
  </si>
  <si>
    <t>Your answer</t>
  </si>
  <si>
    <t>3</t>
  </si>
  <si>
    <t>dd_checked</t>
  </si>
  <si>
    <t>Y</t>
  </si>
  <si>
    <t>Due diligence ticked but no date recorded. When was it done?</t>
  </si>
  <si>
    <t>Treated as done, date unknown</t>
  </si>
  <si>
    <t>5</t>
  </si>
  <si>
    <t>notes</t>
  </si>
  <si>
    <t>Note needs a decision or confirmation.</t>
  </si>
  <si>
    <t>6</t>
  </si>
  <si>
    <t>award_date</t>
  </si>
  <si>
    <t>Jan-26</t>
  </si>
  <si>
    <t>Award date: month only ('Jan-26'); assumed 1st of month.</t>
  </si>
  <si>
    <t>Used as stated</t>
  </si>
  <si>
    <t>7</t>
  </si>
  <si>
    <t>evidence</t>
  </si>
  <si>
    <t>Evidence named but status unclear: received or still missing?</t>
  </si>
  <si>
    <t>9</t>
  </si>
  <si>
    <t>Mercy St Foodbank</t>
  </si>
  <si>
    <t>agreement_signed</t>
  </si>
  <si>
    <t>pending</t>
  </si>
  <si>
    <t>Agreement not yet signed?</t>
  </si>
  <si>
    <t>Treated as not signed</t>
  </si>
  <si>
    <t>11</t>
  </si>
  <si>
    <t>owner</t>
  </si>
  <si>
    <t>No owner recorded. Who is responsible for this grant?</t>
  </si>
  <si>
    <t>14</t>
  </si>
  <si>
    <t>reg_no</t>
  </si>
  <si>
    <t>CIC 12345678</t>
  </si>
  <si>
    <t>Registration number is not a standard charity number. Is this a company/CIC number?</t>
  </si>
  <si>
    <t>Kept as given</t>
  </si>
  <si>
    <t>19</t>
  </si>
  <si>
    <t>20</t>
  </si>
  <si>
    <t>grant_ref</t>
  </si>
  <si>
    <t>No grant reference, dates or agreement: awarded but not yet set up?</t>
  </si>
  <si>
    <t>Listed as a set-up action, not as an active grant</t>
  </si>
  <si>
    <t>8</t>
  </si>
  <si>
    <t>recipient</t>
  </si>
  <si>
    <t>Mercy St Foodbank / Mercy Street Food Bank</t>
  </si>
  <si>
    <t>Same organisation spelt differently?</t>
  </si>
  <si>
    <t>Treated as one organisation</t>
  </si>
  <si>
    <t>2</t>
  </si>
  <si>
    <t>Harbour Youth Proj. / Harbour Youth Project CIO</t>
  </si>
  <si>
    <t>Same organisation under two names?</t>
  </si>
  <si>
    <t>Kept separate until confirmed</t>
  </si>
  <si>
    <t>Priya, Priya K</t>
  </si>
  <si>
    <t>Owner written several ways. Same owner?</t>
  </si>
  <si>
    <t>Grouped as 'Priya K'</t>
  </si>
  <si>
    <t>Sarah, sarah j, Sarah J, SJ</t>
  </si>
  <si>
    <t>Grouped as 'Sarah J'</t>
  </si>
  <si>
    <t>TB, Tom, Tom B</t>
  </si>
  <si>
    <t>Grouped as 'Tom B'</t>
  </si>
  <si>
    <t>fund</t>
  </si>
  <si>
    <t>Capital, Capital Grants</t>
  </si>
  <si>
    <t>Fund written several ways. Same fund?</t>
  </si>
  <si>
    <t>Grouped as 'Capital Grants'</t>
  </si>
  <si>
    <t>Community Fund, community fund</t>
  </si>
  <si>
    <t>Grouped as 'Community Fund'</t>
  </si>
  <si>
    <t>Hardship, Hardship Fund</t>
  </si>
  <si>
    <t>Grouped as 'Hardship Fund'</t>
  </si>
  <si>
    <t>payment_schedule</t>
  </si>
  <si>
    <t>3 x quarterly; £20,000 paid</t>
  </si>
  <si>
    <t>Schedule says 3 quarterly payments and £20,000 is paid. I have assumed two £10,000 payments made and the third (£20,000) due 1 Oct once planning permission evidence is in. Are those the right amounts?</t>
  </si>
  <si>
    <t>Assumed exactly that</t>
  </si>
  <si>
    <t>13</t>
  </si>
  <si>
    <t>Feb after termly report</t>
  </si>
  <si>
    <t>The February payment depends on the spring termly report, which has no column in your sheet. I have recorded it as a condition dated 15 Jan 2027. OK?</t>
  </si>
  <si>
    <t>Tracked as a condition</t>
  </si>
  <si>
    <t>paid dates</t>
  </si>
  <si>
    <t>paid to date only</t>
  </si>
  <si>
    <t>Your sheet records how much has been paid but not when. Paid tranches show 'yes' instead of a date; add dates if you want them in the audit trail.</t>
  </si>
  <si>
    <t>Paid = yes, date unknown</t>
  </si>
  <si>
    <t>same charity no. 1170777</t>
  </si>
  <si>
    <t>HF-101 and HF-102 share charity number 1170777, so I have used one name for both.</t>
  </si>
  <si>
    <t>Named Mercy Street Food Bank</t>
  </si>
  <si>
    <t>How to keep this workbook working</t>
  </si>
  <si>
    <t>1. Record events as they happen: enter the date a report arrives (Grant register, 'received' columns), set Evidence status, set 'Conditions met?', and enter the date each tranche is paid (Payments, 'Paid (date)').</t>
  </si>
  <si>
    <t>2. The Report status, Payments, Checks and Status columns recalculate from those dates every day. Filter 'Needs attention?' = Yes on the Grant register to see what still needs action.</t>
  </si>
  <si>
    <t>3. Each tranche has a 'Released when' condition. Status shows 'Ready for approval' once that condition is met and the payment is within 30 days, and 'Blocked' if the payment is due but the condition is not met.</t>
  </si>
  <si>
    <t>4. If a grantee reports new bank details, set 'Bank details check' to Verify until you have confirmed the change by phone on a number you already hold. The tranche stays blocked until you set it back to OK.</t>
  </si>
  <si>
    <t>5. 'Needs attention' is the list as at the build date. Tick Done as items are cleared. Within 60 days of delivery I will refresh it once from an updated export at no extra cost.</t>
  </si>
  <si>
    <t>6. This workbook organises information you supplied. It does not move money, contact grantees or give legal, audit or regulatory advice; decisions stay with you and your trustees.</t>
  </si>
</sst>
</file>

<file path=xl/styles.xml><?xml version="1.0" encoding="utf-8"?>
<styleSheet xmlns="http://schemas.openxmlformats.org/spreadsheetml/2006/main">
  <numFmts count="3">
    <numFmt numFmtId="164" formatCode="#,##0"/>
    <numFmt numFmtId="165" formatCode="£#,##0"/>
    <numFmt numFmtId="166" formatCode="dd mmm yyyy"/>
  </numFmts>
  <fonts count="8">
    <font>
      <sz val="11"/>
      <color theme="1"/>
      <name val="Calibri"/>
      <family val="2"/>
      <scheme val="minor"/>
    </font>
    <font>
      <b/>
      <sz val="16"/>
      <color rgb="FF0E243D"/>
      <name val="Calibri"/>
      <family val="2"/>
      <scheme val="minor"/>
    </font>
    <font>
      <sz val="11"/>
      <color rgb="FF5C6877"/>
      <name val="Calibri"/>
      <family val="2"/>
      <scheme val="minor"/>
    </font>
    <font>
      <b/>
      <sz val="11"/>
      <color rgb="FFB42318"/>
      <name val="Calibri"/>
      <family val="2"/>
      <scheme val="minor"/>
    </font>
    <font>
      <b/>
      <sz val="11"/>
      <color theme="1"/>
      <name val="Calibri"/>
      <family val="2"/>
      <scheme val="minor"/>
    </font>
    <font>
      <b/>
      <sz val="13"/>
      <color theme="1"/>
      <name val="Calibri"/>
      <family val="2"/>
      <scheme val="minor"/>
    </font>
    <font>
      <b/>
      <sz val="11"/>
      <color rgb="FFFFFFFF"/>
      <name val="Calibri"/>
      <family val="2"/>
      <scheme val="minor"/>
    </font>
    <font>
      <sz val="11"/>
      <color rgb="FF9A1B13"/>
      <name val="Calibri"/>
      <family val="2"/>
      <scheme val="minor"/>
    </font>
  </fonts>
  <fills count="4">
    <fill>
      <patternFill patternType="none"/>
    </fill>
    <fill>
      <patternFill patternType="gray125"/>
    </fill>
    <fill>
      <patternFill patternType="solid">
        <fgColor rgb="FF0E243D"/>
        <bgColor indexed="64"/>
      </patternFill>
    </fill>
    <fill>
      <patternFill patternType="solid">
        <fgColor rgb="FFFDE2E1"/>
        <bgColor indexed="64"/>
      </patternFill>
    </fill>
  </fills>
  <borders count="2">
    <border>
      <left/>
      <right/>
      <top/>
      <bottom/>
      <diagonal/>
    </border>
    <border>
      <left style="thin">
        <color rgb="FF0E243D"/>
      </left>
      <right style="thin">
        <color rgb="FF0E243D"/>
      </right>
      <top style="thin">
        <color rgb="FF0E243D"/>
      </top>
      <bottom style="thin">
        <color rgb="FF0E243D"/>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xf numFmtId="164" fontId="5" fillId="0" borderId="0" xfId="0" applyNumberFormat="1" applyFont="1"/>
    <xf numFmtId="165" fontId="5" fillId="0" borderId="0" xfId="0" applyNumberFormat="1" applyFont="1"/>
    <xf numFmtId="0" fontId="6" fillId="2" borderId="1" xfId="0" applyFont="1" applyFill="1" applyBorder="1" applyAlignment="1">
      <alignment vertical="top" wrapText="1"/>
    </xf>
    <xf numFmtId="0" fontId="0" fillId="0" borderId="0" xfId="0" applyAlignment="1">
      <alignment vertical="top" wrapText="1"/>
    </xf>
    <xf numFmtId="0" fontId="7" fillId="3" borderId="0" xfId="0" applyFont="1" applyFill="1"/>
    <xf numFmtId="166" fontId="0" fillId="0" borderId="0" xfId="0" applyNumberFormat="1" applyAlignment="1">
      <alignment vertical="top"/>
    </xf>
    <xf numFmtId="165" fontId="0" fillId="0" borderId="0" xfId="0" applyNumberFormat="1" applyAlignment="1">
      <alignment vertical="top"/>
    </xf>
    <xf numFmtId="1" fontId="0" fillId="0" borderId="0" xfId="0" applyNumberFormat="1" applyAlignment="1">
      <alignment vertical="top"/>
    </xf>
  </cellXfs>
  <cellStyles count="1">
    <cellStyle name="Normal" xfId="0" builtinId="0"/>
  </cellStyles>
  <dxfs count="5">
    <dxf>
      <font>
        <color rgb="FF9A1B13"/>
      </font>
      <fill>
        <patternFill>
          <bgColor rgb="FFFDE2E1"/>
        </patternFill>
      </fill>
    </dxf>
    <dxf>
      <font>
        <color rgb="FF7A4B00"/>
      </font>
      <fill>
        <patternFill>
          <bgColor rgb="FFFFF1CC"/>
        </patternFill>
      </fill>
    </dxf>
    <dxf>
      <font>
        <b/>
        <color rgb="FF9A1B13"/>
      </font>
    </dxf>
    <dxf>
      <font>
        <color rgb="FF1E5B32"/>
      </font>
      <fill>
        <patternFill>
          <bgColor rgb="FFE3F4E8"/>
        </patternFill>
      </fill>
    </dxf>
    <dxf>
      <font>
        <color rgb="FF44505C"/>
      </font>
      <fill>
        <patternFill>
          <bgColor rgb="FFEEF1F4"/>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showGridLines="0" tabSelected="1" workbookViewId="0"/>
  </sheetViews>
  <sheetFormatPr defaultRowHeight="15"/>
  <cols>
    <col min="1" max="1" width="46.7109375" customWidth="1"/>
    <col min="2" max="2" width="16.7109375" customWidth="1"/>
    <col min="3" max="4" width="44.7109375" customWidth="1"/>
  </cols>
  <sheetData>
    <row r="1" spans="1:2">
      <c r="A1" s="1" t="s">
        <v>195</v>
      </c>
    </row>
    <row r="2" spans="1:2">
      <c r="A2" s="2" t="s">
        <v>196</v>
      </c>
    </row>
    <row r="3" spans="1:2">
      <c r="A3" s="3" t="s">
        <v>197</v>
      </c>
    </row>
    <row r="5" spans="1:2">
      <c r="A5" s="4" t="s">
        <v>198</v>
      </c>
      <c r="B5" s="5">
        <f>COUNTA('Grant register'!A2:A500)</f>
        <v>19</v>
      </c>
    </row>
    <row r="6" spans="1:2">
      <c r="A6" s="4" t="s">
        <v>199</v>
      </c>
      <c r="B6" s="6">
        <f>SUM('Grant register'!F2:F500)</f>
        <v>235700.0</v>
      </c>
    </row>
    <row r="7" spans="1:2">
      <c r="A7" s="4" t="s">
        <v>200</v>
      </c>
      <c r="B7" s="6">
        <f>SUMIFS(Payments!D2:D500,Payments!I2:I500,"&lt;&gt;")</f>
        <v>152850.0</v>
      </c>
    </row>
    <row r="8" spans="1:2">
      <c r="A8" s="4" t="s">
        <v>201</v>
      </c>
      <c r="B8" s="5">
        <f>COUNTIF('Grant register'!T2:T500,"*overdue*")</f>
        <v/>
      </c>
    </row>
    <row r="9" spans="1:2">
      <c r="A9" s="4" t="s">
        <v>202</v>
      </c>
      <c r="B9" s="5">
        <f>COUNTIF('Grant register'!T2:T500,"*due in*")</f>
        <v/>
      </c>
    </row>
    <row r="10" spans="1:2">
      <c r="A10" s="4" t="s">
        <v>203</v>
      </c>
      <c r="B10" s="5">
        <f>COUNTIF(Payments!J2:J500,"Blocked*")</f>
        <v>8</v>
      </c>
    </row>
    <row r="11" spans="1:2">
      <c r="A11" s="4" t="s">
        <v>204</v>
      </c>
      <c r="B11" s="6">
        <f>SUMIF(Payments!J2:J500,"Blocked*",Payments!D2:D500)</f>
        <v>58850.0</v>
      </c>
    </row>
    <row r="12" spans="1:2">
      <c r="A12" s="4" t="s">
        <v>205</v>
      </c>
      <c r="B12" s="5">
        <f>COUNTIF(Payments!J2:J500,"Ready*")</f>
        <v>1</v>
      </c>
    </row>
    <row r="13" spans="1:2">
      <c r="A13" s="4" t="s">
        <v>206</v>
      </c>
      <c r="B13" s="5">
        <f>COUNTIF('Grant register'!S2:S500,"Missing")+COUNTIF('Grant register'!S2:S500,"Partial")</f>
        <v>4</v>
      </c>
    </row>
    <row r="14" spans="1:2">
      <c r="A14" s="4" t="s">
        <v>207</v>
      </c>
      <c r="B14" s="5">
        <f>COUNTIF('Grant register'!V2:V500,"*DD*")</f>
        <v/>
      </c>
    </row>
    <row r="15" spans="1:2">
      <c r="A15" s="4" t="s">
        <v>208</v>
      </c>
      <c r="B15" s="5">
        <f>COUNTIF('Grant register'!M2:M500,"No")</f>
        <v>4</v>
      </c>
    </row>
    <row r="16" spans="1:2">
      <c r="A16" s="4" t="s">
        <v>209</v>
      </c>
      <c r="B16" s="5">
        <v>23</v>
      </c>
    </row>
    <row r="18" spans="1:4">
      <c r="A18" s="1" t="s">
        <v>210</v>
      </c>
    </row>
    <row r="19" spans="1:4">
      <c r="A19" s="7" t="s">
        <v>125</v>
      </c>
      <c r="B19" s="7" t="s">
        <v>124</v>
      </c>
      <c r="C19" s="7" t="s">
        <v>211</v>
      </c>
      <c r="D19" s="7" t="s">
        <v>129</v>
      </c>
    </row>
    <row r="20" spans="1:4">
      <c r="A20" s="8" t="s">
        <v>212</v>
      </c>
      <c r="B20" s="9" t="s">
        <v>132</v>
      </c>
      <c r="C20" s="8" t="s">
        <v>213</v>
      </c>
      <c r="D20" s="8" t="s">
        <v>214</v>
      </c>
    </row>
    <row r="21" spans="1:4">
      <c r="A21" s="8" t="s">
        <v>215</v>
      </c>
      <c r="B21" s="9" t="s">
        <v>132</v>
      </c>
      <c r="C21" s="8" t="s">
        <v>216</v>
      </c>
      <c r="D21" s="8" t="s">
        <v>214</v>
      </c>
    </row>
    <row r="22" spans="1:4">
      <c r="A22" s="8" t="s">
        <v>217</v>
      </c>
      <c r="B22" s="9" t="s">
        <v>132</v>
      </c>
      <c r="C22" s="8" t="s">
        <v>218</v>
      </c>
      <c r="D22" s="8" t="s">
        <v>219</v>
      </c>
    </row>
    <row r="23" spans="1:4">
      <c r="A23" s="8" t="s">
        <v>220</v>
      </c>
      <c r="B23" s="9" t="s">
        <v>132</v>
      </c>
      <c r="C23" s="8" t="s">
        <v>221</v>
      </c>
      <c r="D23" s="8" t="s">
        <v>222</v>
      </c>
    </row>
    <row r="24" spans="1:4">
      <c r="A24" s="8" t="s">
        <v>220</v>
      </c>
      <c r="B24" s="9" t="s">
        <v>132</v>
      </c>
      <c r="C24" s="8" t="s">
        <v>218</v>
      </c>
      <c r="D24" s="8" t="s">
        <v>223</v>
      </c>
    </row>
    <row r="25" spans="1:4">
      <c r="A25" s="8" t="s">
        <v>224</v>
      </c>
      <c r="B25" s="9" t="s">
        <v>132</v>
      </c>
      <c r="C25" s="8" t="s">
        <v>225</v>
      </c>
      <c r="D25" s="8" t="s">
        <v>226</v>
      </c>
    </row>
    <row r="26" spans="1:4">
      <c r="A26" s="8" t="s">
        <v>227</v>
      </c>
      <c r="B26" s="9" t="s">
        <v>132</v>
      </c>
      <c r="C26" s="8" t="s">
        <v>228</v>
      </c>
      <c r="D26" s="8" t="s">
        <v>229</v>
      </c>
    </row>
    <row r="27" spans="1:4">
      <c r="A27" s="8" t="s">
        <v>230</v>
      </c>
      <c r="B27" s="9" t="s">
        <v>132</v>
      </c>
      <c r="C27" s="8" t="s">
        <v>231</v>
      </c>
      <c r="D27" s="8" t="s">
        <v>232</v>
      </c>
    </row>
    <row r="28" spans="1:4">
      <c r="A28" s="8" t="s">
        <v>233</v>
      </c>
      <c r="B28" s="9" t="s">
        <v>132</v>
      </c>
      <c r="C28" s="8" t="s">
        <v>234</v>
      </c>
      <c r="D28" s="8" t="s">
        <v>232</v>
      </c>
    </row>
    <row r="29" spans="1:4">
      <c r="A29" s="8" t="s">
        <v>235</v>
      </c>
      <c r="B29" s="9" t="s">
        <v>132</v>
      </c>
      <c r="C29" s="8" t="s">
        <v>236</v>
      </c>
      <c r="D29" s="8" t="s">
        <v>237</v>
      </c>
    </row>
    <row r="31" spans="1:4">
      <c r="A31" s="4" t="s">
        <v>238</v>
      </c>
    </row>
    <row r="32" spans="1:4">
      <c r="A32" s="8" t="s">
        <v>239</v>
      </c>
    </row>
    <row r="33" spans="1:1">
      <c r="A33" s="8" t="s">
        <v>240</v>
      </c>
    </row>
    <row r="34" spans="1:1">
      <c r="A34" s="8" t="s">
        <v>241</v>
      </c>
    </row>
    <row r="35" spans="1:1">
      <c r="A35" s="8" t="s">
        <v>242</v>
      </c>
    </row>
    <row r="36" spans="1:1">
      <c r="A36" s="8" t="s">
        <v>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4"/>
  <sheetViews>
    <sheetView showGridLines="0" workbookViewId="0">
      <pane xSplit="3" ySplit="3" topLeftCell="D4" activePane="bottomRight" state="frozen"/>
      <selection pane="topRight" activeCell="D1" sqref="D1"/>
      <selection pane="bottomLeft" activeCell="A4" sqref="A4"/>
      <selection pane="bottomRight"/>
    </sheetView>
  </sheetViews>
  <sheetFormatPr defaultRowHeight="15"/>
  <cols>
    <col min="1" max="1" width="9.7109375" customWidth="1"/>
    <col min="2" max="2" width="12.7109375" customWidth="1"/>
    <col min="3" max="3" width="26.7109375" customWidth="1"/>
    <col min="4" max="4" width="14.7109375" customWidth="1"/>
    <col min="5" max="5" width="26.7109375" customWidth="1"/>
    <col min="6" max="6" width="44.7109375" customWidth="1"/>
    <col min="7" max="7" width="12.7109375" customWidth="1"/>
    <col min="8" max="8" width="9.7109375" customWidth="1"/>
    <col min="9" max="10" width="10.7109375" customWidth="1"/>
    <col min="11" max="11" width="40.7109375" customWidth="1"/>
    <col min="12" max="12" width="8.7109375" customWidth="1"/>
    <col min="13" max="13" width="30.7109375" customWidth="1"/>
  </cols>
  <sheetData>
    <row r="1" spans="1:13">
      <c r="A1" s="1" t="s">
        <v>123</v>
      </c>
    </row>
    <row r="3" spans="1:13">
      <c r="A3" s="7" t="s">
        <v>124</v>
      </c>
      <c r="B3" s="7" t="s">
        <v>0</v>
      </c>
      <c r="C3" s="7" t="s">
        <v>1</v>
      </c>
      <c r="D3" s="7" t="s">
        <v>3</v>
      </c>
      <c r="E3" s="7" t="s">
        <v>125</v>
      </c>
      <c r="F3" s="7" t="s">
        <v>126</v>
      </c>
      <c r="G3" s="7" t="s">
        <v>127</v>
      </c>
      <c r="H3" s="7" t="s">
        <v>114</v>
      </c>
      <c r="I3" s="7" t="s">
        <v>128</v>
      </c>
      <c r="J3" s="7" t="s">
        <v>4</v>
      </c>
      <c r="K3" s="7" t="s">
        <v>129</v>
      </c>
      <c r="L3" s="7" t="s">
        <v>130</v>
      </c>
      <c r="M3" s="7" t="s">
        <v>131</v>
      </c>
    </row>
    <row r="4" spans="1:13">
      <c r="A4" s="8" t="s">
        <v>132</v>
      </c>
      <c r="B4" s="8" t="s">
        <v>104</v>
      </c>
      <c r="C4" s="8" t="s">
        <v>57</v>
      </c>
      <c r="D4" s="8" t="s">
        <v>51</v>
      </c>
      <c r="E4" s="8" t="s">
        <v>133</v>
      </c>
      <c r="F4" s="8" t="s">
        <v>134</v>
      </c>
      <c r="G4" s="10">
        <v>46310</v>
      </c>
      <c r="I4" s="11">
        <v>3500</v>
      </c>
      <c r="J4" s="8" t="s">
        <v>52</v>
      </c>
      <c r="K4" s="8" t="s">
        <v>135</v>
      </c>
      <c r="L4" s="8" t="s">
        <v>43</v>
      </c>
    </row>
    <row r="5" spans="1:13">
      <c r="A5" s="8" t="s">
        <v>132</v>
      </c>
      <c r="B5" s="8" t="s">
        <v>56</v>
      </c>
      <c r="C5" s="8" t="s">
        <v>57</v>
      </c>
      <c r="D5" s="8" t="s">
        <v>51</v>
      </c>
      <c r="E5" s="8" t="s">
        <v>133</v>
      </c>
      <c r="F5" s="8" t="s">
        <v>136</v>
      </c>
      <c r="G5" s="10">
        <v>46326</v>
      </c>
      <c r="I5" s="11">
        <v>9000</v>
      </c>
      <c r="J5" s="8" t="s">
        <v>52</v>
      </c>
      <c r="K5" s="8" t="s">
        <v>135</v>
      </c>
      <c r="L5" s="8" t="s">
        <v>43</v>
      </c>
    </row>
    <row r="6" spans="1:13">
      <c r="A6" s="8" t="s">
        <v>132</v>
      </c>
      <c r="B6" s="8" t="s">
        <v>45</v>
      </c>
      <c r="C6" s="8" t="s">
        <v>46</v>
      </c>
      <c r="D6" s="8" t="s">
        <v>40</v>
      </c>
      <c r="E6" s="8" t="s">
        <v>137</v>
      </c>
      <c r="F6" s="8" t="s">
        <v>138</v>
      </c>
      <c r="G6" s="8"/>
      <c r="J6" s="8" t="s">
        <v>41</v>
      </c>
      <c r="K6" s="8" t="s">
        <v>139</v>
      </c>
      <c r="L6" s="8" t="s">
        <v>43</v>
      </c>
    </row>
    <row r="7" spans="1:13">
      <c r="A7" s="8" t="s">
        <v>132</v>
      </c>
      <c r="B7" s="8" t="s">
        <v>90</v>
      </c>
      <c r="C7" s="8" t="s">
        <v>91</v>
      </c>
      <c r="D7" s="8" t="s">
        <v>64</v>
      </c>
      <c r="E7" s="8" t="s">
        <v>140</v>
      </c>
      <c r="F7" s="8" t="s">
        <v>141</v>
      </c>
      <c r="G7" s="8"/>
      <c r="J7" s="8" t="s">
        <v>28</v>
      </c>
      <c r="K7" s="8" t="s">
        <v>142</v>
      </c>
      <c r="L7" s="8" t="s">
        <v>43</v>
      </c>
    </row>
    <row r="8" spans="1:13">
      <c r="A8" s="8" t="s">
        <v>132</v>
      </c>
      <c r="B8" s="8" t="s">
        <v>45</v>
      </c>
      <c r="C8" s="8" t="s">
        <v>46</v>
      </c>
      <c r="D8" s="8" t="s">
        <v>40</v>
      </c>
      <c r="E8" s="8" t="s">
        <v>140</v>
      </c>
      <c r="F8" s="8" t="s">
        <v>141</v>
      </c>
      <c r="G8" s="8"/>
      <c r="J8" s="8" t="s">
        <v>41</v>
      </c>
      <c r="K8" s="8" t="s">
        <v>142</v>
      </c>
      <c r="L8" s="8" t="s">
        <v>43</v>
      </c>
    </row>
    <row r="9" spans="1:13">
      <c r="A9" s="8" t="s">
        <v>132</v>
      </c>
      <c r="B9" s="8" t="s">
        <v>66</v>
      </c>
      <c r="C9" s="8" t="s">
        <v>67</v>
      </c>
      <c r="D9" s="8" t="s">
        <v>27</v>
      </c>
      <c r="E9" s="8" t="s">
        <v>143</v>
      </c>
      <c r="F9" s="8" t="s">
        <v>144</v>
      </c>
      <c r="G9" s="10">
        <v>46275</v>
      </c>
      <c r="H9" s="12">
        <v>18</v>
      </c>
      <c r="I9" s="11">
        <v>15000</v>
      </c>
      <c r="J9" s="8" t="s">
        <v>28</v>
      </c>
      <c r="K9" s="8" t="s">
        <v>145</v>
      </c>
      <c r="L9" s="8" t="s">
        <v>43</v>
      </c>
    </row>
    <row r="10" spans="1:13">
      <c r="A10" s="8" t="s">
        <v>132</v>
      </c>
      <c r="B10" s="8" t="s">
        <v>80</v>
      </c>
      <c r="C10" s="8" t="s">
        <v>81</v>
      </c>
      <c r="D10" s="8" t="s">
        <v>40</v>
      </c>
      <c r="E10" s="8" t="s">
        <v>146</v>
      </c>
      <c r="F10" s="8" t="s">
        <v>83</v>
      </c>
      <c r="G10" s="10">
        <v>46285</v>
      </c>
      <c r="H10" s="12">
        <v>8</v>
      </c>
      <c r="J10" s="8" t="s">
        <v>41</v>
      </c>
      <c r="K10" s="8" t="s">
        <v>147</v>
      </c>
      <c r="L10" s="8" t="s">
        <v>43</v>
      </c>
    </row>
    <row r="11" spans="1:13">
      <c r="A11" s="8" t="s">
        <v>132</v>
      </c>
      <c r="B11" s="8" t="s">
        <v>101</v>
      </c>
      <c r="C11" s="8" t="s">
        <v>102</v>
      </c>
      <c r="D11" s="8" t="s">
        <v>40</v>
      </c>
      <c r="E11" s="8" t="s">
        <v>148</v>
      </c>
      <c r="F11" s="8" t="s">
        <v>149</v>
      </c>
      <c r="G11" s="10">
        <v>46152</v>
      </c>
      <c r="H11" s="12">
        <v>141</v>
      </c>
      <c r="I11" s="11">
        <v>3600</v>
      </c>
      <c r="J11" s="8" t="s">
        <v>41</v>
      </c>
      <c r="K11" s="8" t="s">
        <v>150</v>
      </c>
      <c r="L11" s="8" t="s">
        <v>43</v>
      </c>
    </row>
    <row r="12" spans="1:13">
      <c r="A12" s="8" t="s">
        <v>132</v>
      </c>
      <c r="B12" s="8" t="s">
        <v>37</v>
      </c>
      <c r="C12" s="8" t="s">
        <v>38</v>
      </c>
      <c r="D12" s="8" t="s">
        <v>40</v>
      </c>
      <c r="E12" s="8" t="s">
        <v>148</v>
      </c>
      <c r="F12" s="8" t="s">
        <v>151</v>
      </c>
      <c r="G12" s="10">
        <v>46266</v>
      </c>
      <c r="H12" s="12">
        <v>27</v>
      </c>
      <c r="I12" s="11">
        <v>6250</v>
      </c>
      <c r="J12" s="8" t="s">
        <v>41</v>
      </c>
      <c r="K12" s="8" t="s">
        <v>150</v>
      </c>
      <c r="L12" s="8" t="s">
        <v>43</v>
      </c>
    </row>
    <row r="13" spans="1:13">
      <c r="A13" s="8" t="s">
        <v>132</v>
      </c>
      <c r="B13" s="8" t="s">
        <v>65</v>
      </c>
      <c r="C13" s="8" t="s">
        <v>62</v>
      </c>
      <c r="D13" s="8" t="s">
        <v>64</v>
      </c>
      <c r="E13" s="8" t="s">
        <v>148</v>
      </c>
      <c r="F13" s="8" t="s">
        <v>152</v>
      </c>
      <c r="G13" s="10">
        <v>46295</v>
      </c>
      <c r="I13" s="11">
        <v>1500</v>
      </c>
      <c r="J13" s="8" t="s">
        <v>28</v>
      </c>
      <c r="K13" s="8" t="s">
        <v>153</v>
      </c>
      <c r="L13" s="8" t="s">
        <v>43</v>
      </c>
    </row>
    <row r="14" spans="1:13">
      <c r="A14" s="8" t="s">
        <v>132</v>
      </c>
      <c r="B14" s="8" t="s">
        <v>48</v>
      </c>
      <c r="C14" s="8" t="s">
        <v>49</v>
      </c>
      <c r="D14" s="8" t="s">
        <v>51</v>
      </c>
      <c r="E14" s="8" t="s">
        <v>148</v>
      </c>
      <c r="F14" s="8" t="s">
        <v>154</v>
      </c>
      <c r="G14" s="10">
        <v>46296</v>
      </c>
      <c r="I14" s="11">
        <v>20000</v>
      </c>
      <c r="J14" s="8" t="s">
        <v>52</v>
      </c>
      <c r="K14" s="8" t="s">
        <v>155</v>
      </c>
      <c r="L14" s="8" t="s">
        <v>43</v>
      </c>
    </row>
    <row r="15" spans="1:13">
      <c r="A15" s="8" t="s">
        <v>132</v>
      </c>
      <c r="B15" s="8" t="s">
        <v>76</v>
      </c>
      <c r="C15" s="8" t="s">
        <v>77</v>
      </c>
      <c r="D15" s="8" t="s">
        <v>40</v>
      </c>
      <c r="E15" s="8" t="s">
        <v>148</v>
      </c>
      <c r="F15" s="8" t="s">
        <v>156</v>
      </c>
      <c r="G15" s="10">
        <v>46296</v>
      </c>
      <c r="I15" s="11">
        <v>5000</v>
      </c>
      <c r="J15" s="8" t="s">
        <v>41</v>
      </c>
      <c r="K15" s="8" t="s">
        <v>150</v>
      </c>
      <c r="L15" s="8" t="s">
        <v>43</v>
      </c>
    </row>
    <row r="16" spans="1:13">
      <c r="A16" s="8" t="s">
        <v>132</v>
      </c>
      <c r="B16" s="8" t="s">
        <v>24</v>
      </c>
      <c r="C16" s="8" t="s">
        <v>25</v>
      </c>
      <c r="D16" s="8" t="s">
        <v>27</v>
      </c>
      <c r="E16" s="8" t="s">
        <v>148</v>
      </c>
      <c r="F16" s="8" t="s">
        <v>157</v>
      </c>
      <c r="G16" s="10">
        <v>46316</v>
      </c>
      <c r="I16" s="11">
        <v>10000</v>
      </c>
      <c r="J16" s="8" t="s">
        <v>28</v>
      </c>
      <c r="K16" s="8" t="s">
        <v>158</v>
      </c>
      <c r="L16" s="8" t="s">
        <v>43</v>
      </c>
    </row>
    <row r="17" spans="1:12">
      <c r="A17" s="8" t="s">
        <v>132</v>
      </c>
      <c r="B17" s="8" t="s">
        <v>70</v>
      </c>
      <c r="C17" s="8" t="s">
        <v>71</v>
      </c>
      <c r="D17" s="8" t="s">
        <v>27</v>
      </c>
      <c r="E17" s="8" t="s">
        <v>159</v>
      </c>
      <c r="F17" s="8" t="s">
        <v>160</v>
      </c>
      <c r="G17" s="10">
        <v>46266</v>
      </c>
      <c r="H17" s="12">
        <v>27</v>
      </c>
      <c r="J17" s="8" t="s">
        <v>161</v>
      </c>
      <c r="K17" s="8" t="s">
        <v>162</v>
      </c>
      <c r="L17" s="8" t="s">
        <v>43</v>
      </c>
    </row>
    <row r="18" spans="1:12">
      <c r="A18" s="8" t="s">
        <v>132</v>
      </c>
      <c r="B18" s="8" t="s">
        <v>101</v>
      </c>
      <c r="C18" s="8" t="s">
        <v>102</v>
      </c>
      <c r="D18" s="8" t="s">
        <v>40</v>
      </c>
      <c r="E18" s="8" t="s">
        <v>163</v>
      </c>
      <c r="F18" s="8" t="s">
        <v>164</v>
      </c>
      <c r="G18" s="10">
        <v>46122</v>
      </c>
      <c r="H18" s="12">
        <v>171</v>
      </c>
      <c r="J18" s="8" t="s">
        <v>41</v>
      </c>
      <c r="K18" s="8" t="s">
        <v>162</v>
      </c>
      <c r="L18" s="8" t="s">
        <v>43</v>
      </c>
    </row>
    <row r="19" spans="1:12">
      <c r="A19" s="8" t="s">
        <v>132</v>
      </c>
      <c r="B19" s="8" t="s">
        <v>37</v>
      </c>
      <c r="C19" s="8" t="s">
        <v>38</v>
      </c>
      <c r="D19" s="8" t="s">
        <v>40</v>
      </c>
      <c r="E19" s="8" t="s">
        <v>163</v>
      </c>
      <c r="F19" s="8" t="s">
        <v>165</v>
      </c>
      <c r="G19" s="10">
        <v>46234</v>
      </c>
      <c r="H19" s="12">
        <v>59</v>
      </c>
      <c r="J19" s="8" t="s">
        <v>41</v>
      </c>
      <c r="K19" s="8" t="s">
        <v>162</v>
      </c>
      <c r="L19" s="8" t="s">
        <v>43</v>
      </c>
    </row>
    <row r="20" spans="1:12">
      <c r="A20" s="8" t="s">
        <v>132</v>
      </c>
      <c r="B20" s="8" t="s">
        <v>76</v>
      </c>
      <c r="C20" s="8" t="s">
        <v>77</v>
      </c>
      <c r="D20" s="8" t="s">
        <v>40</v>
      </c>
      <c r="E20" s="8" t="s">
        <v>163</v>
      </c>
      <c r="F20" s="8" t="s">
        <v>166</v>
      </c>
      <c r="G20" s="10">
        <v>46280</v>
      </c>
      <c r="H20" s="12">
        <v>13</v>
      </c>
      <c r="J20" s="8" t="s">
        <v>41</v>
      </c>
      <c r="K20" s="8" t="s">
        <v>162</v>
      </c>
      <c r="L20" s="8" t="s">
        <v>43</v>
      </c>
    </row>
    <row r="21" spans="1:12">
      <c r="A21" s="8" t="s">
        <v>167</v>
      </c>
      <c r="B21" s="8" t="s">
        <v>37</v>
      </c>
      <c r="C21" s="8" t="s">
        <v>38</v>
      </c>
      <c r="D21" s="8" t="s">
        <v>40</v>
      </c>
      <c r="E21" s="8" t="s">
        <v>168</v>
      </c>
      <c r="F21" s="8" t="s">
        <v>169</v>
      </c>
      <c r="G21" s="10">
        <v>45667</v>
      </c>
      <c r="J21" s="8" t="s">
        <v>41</v>
      </c>
      <c r="K21" s="8" t="s">
        <v>170</v>
      </c>
      <c r="L21" s="8" t="s">
        <v>43</v>
      </c>
    </row>
    <row r="22" spans="1:12">
      <c r="A22" s="8" t="s">
        <v>167</v>
      </c>
      <c r="B22" s="8" t="s">
        <v>35</v>
      </c>
      <c r="C22" s="8" t="s">
        <v>36</v>
      </c>
      <c r="D22" s="8" t="s">
        <v>27</v>
      </c>
      <c r="E22" s="8" t="s">
        <v>171</v>
      </c>
      <c r="F22" s="8" t="s">
        <v>172</v>
      </c>
      <c r="G22" s="10">
        <v>46295</v>
      </c>
      <c r="J22" s="8" t="s">
        <v>28</v>
      </c>
      <c r="K22" s="8" t="s">
        <v>173</v>
      </c>
      <c r="L22" s="8" t="s">
        <v>43</v>
      </c>
    </row>
    <row r="23" spans="1:12">
      <c r="A23" s="8" t="s">
        <v>167</v>
      </c>
      <c r="B23" s="8" t="s">
        <v>24</v>
      </c>
      <c r="C23" s="8" t="s">
        <v>25</v>
      </c>
      <c r="D23" s="8" t="s">
        <v>27</v>
      </c>
      <c r="E23" s="8" t="s">
        <v>174</v>
      </c>
      <c r="F23" s="8" t="s">
        <v>175</v>
      </c>
      <c r="G23" s="10">
        <v>46309</v>
      </c>
      <c r="J23" s="8" t="s">
        <v>28</v>
      </c>
      <c r="K23" s="8" t="s">
        <v>173</v>
      </c>
      <c r="L23" s="8" t="s">
        <v>43</v>
      </c>
    </row>
    <row r="24" spans="1:12">
      <c r="A24" s="8" t="s">
        <v>167</v>
      </c>
      <c r="B24" s="8"/>
      <c r="C24" s="8" t="s">
        <v>176</v>
      </c>
      <c r="D24" s="8"/>
      <c r="E24" s="8" t="s">
        <v>177</v>
      </c>
      <c r="F24" s="8" t="s">
        <v>178</v>
      </c>
      <c r="G24" s="8"/>
      <c r="I24" s="11">
        <v>5000</v>
      </c>
      <c r="J24" s="8" t="s">
        <v>161</v>
      </c>
      <c r="K24" s="8" t="s">
        <v>179</v>
      </c>
      <c r="L24" s="8" t="s">
        <v>43</v>
      </c>
    </row>
    <row r="25" spans="1:12">
      <c r="A25" s="8" t="s">
        <v>167</v>
      </c>
      <c r="B25" s="8" t="s">
        <v>48</v>
      </c>
      <c r="C25" s="8" t="s">
        <v>49</v>
      </c>
      <c r="D25" s="8" t="s">
        <v>51</v>
      </c>
      <c r="E25" s="8" t="s">
        <v>180</v>
      </c>
      <c r="F25" s="8" t="s">
        <v>53</v>
      </c>
      <c r="G25" s="8"/>
      <c r="J25" s="8" t="s">
        <v>52</v>
      </c>
      <c r="K25" s="8" t="s">
        <v>181</v>
      </c>
      <c r="L25" s="8" t="s">
        <v>43</v>
      </c>
    </row>
    <row r="26" spans="1:12">
      <c r="A26" s="8" t="s">
        <v>167</v>
      </c>
      <c r="B26" s="8" t="s">
        <v>48</v>
      </c>
      <c r="C26" s="8" t="s">
        <v>49</v>
      </c>
      <c r="D26" s="8" t="s">
        <v>51</v>
      </c>
      <c r="E26" s="8" t="s">
        <v>182</v>
      </c>
      <c r="F26" s="8" t="s">
        <v>54</v>
      </c>
      <c r="G26" s="8"/>
      <c r="J26" s="8" t="s">
        <v>52</v>
      </c>
      <c r="K26" s="8" t="s">
        <v>183</v>
      </c>
      <c r="L26" s="8" t="s">
        <v>43</v>
      </c>
    </row>
    <row r="27" spans="1:12">
      <c r="A27" s="8" t="s">
        <v>167</v>
      </c>
      <c r="B27" s="8" t="s">
        <v>56</v>
      </c>
      <c r="C27" s="8" t="s">
        <v>57</v>
      </c>
      <c r="D27" s="8" t="s">
        <v>51</v>
      </c>
      <c r="E27" s="8" t="s">
        <v>184</v>
      </c>
      <c r="F27" s="8" t="s">
        <v>59</v>
      </c>
      <c r="G27" s="8"/>
      <c r="J27" s="8" t="s">
        <v>52</v>
      </c>
      <c r="K27" s="8" t="s">
        <v>183</v>
      </c>
      <c r="L27" s="8" t="s">
        <v>43</v>
      </c>
    </row>
    <row r="28" spans="1:12">
      <c r="A28" s="8" t="s">
        <v>167</v>
      </c>
      <c r="B28" s="8" t="s">
        <v>35</v>
      </c>
      <c r="C28" s="8" t="s">
        <v>36</v>
      </c>
      <c r="D28" s="8" t="s">
        <v>27</v>
      </c>
      <c r="E28" s="8" t="s">
        <v>185</v>
      </c>
      <c r="F28" s="8" t="s">
        <v>186</v>
      </c>
      <c r="G28" s="8"/>
      <c r="J28" s="8" t="s">
        <v>28</v>
      </c>
      <c r="K28" s="8" t="s">
        <v>187</v>
      </c>
      <c r="L28" s="8" t="s">
        <v>43</v>
      </c>
    </row>
    <row r="29" spans="1:12">
      <c r="A29" s="8" t="s">
        <v>167</v>
      </c>
      <c r="B29" s="8" t="s">
        <v>24</v>
      </c>
      <c r="C29" s="8" t="s">
        <v>25</v>
      </c>
      <c r="D29" s="8" t="s">
        <v>27</v>
      </c>
      <c r="E29" s="8" t="s">
        <v>184</v>
      </c>
      <c r="F29" s="8" t="s">
        <v>32</v>
      </c>
      <c r="G29" s="8"/>
      <c r="J29" s="8" t="s">
        <v>28</v>
      </c>
      <c r="K29" s="8" t="s">
        <v>183</v>
      </c>
      <c r="L29" s="8" t="s">
        <v>43</v>
      </c>
    </row>
    <row r="30" spans="1:12">
      <c r="A30" s="8" t="s">
        <v>167</v>
      </c>
      <c r="B30" s="8" t="s">
        <v>70</v>
      </c>
      <c r="C30" s="8" t="s">
        <v>71</v>
      </c>
      <c r="D30" s="8" t="s">
        <v>27</v>
      </c>
      <c r="E30" s="8" t="s">
        <v>184</v>
      </c>
      <c r="F30" s="8" t="s">
        <v>72</v>
      </c>
      <c r="G30" s="8"/>
      <c r="J30" s="8" t="s">
        <v>161</v>
      </c>
      <c r="K30" s="8" t="s">
        <v>183</v>
      </c>
      <c r="L30" s="8" t="s">
        <v>43</v>
      </c>
    </row>
    <row r="31" spans="1:12">
      <c r="A31" s="8" t="s">
        <v>167</v>
      </c>
      <c r="B31" s="8" t="s">
        <v>37</v>
      </c>
      <c r="C31" s="8" t="s">
        <v>38</v>
      </c>
      <c r="D31" s="8" t="s">
        <v>40</v>
      </c>
      <c r="E31" s="8" t="s">
        <v>180</v>
      </c>
      <c r="F31" s="8" t="s">
        <v>42</v>
      </c>
      <c r="G31" s="8"/>
      <c r="J31" s="8" t="s">
        <v>41</v>
      </c>
      <c r="K31" s="8" t="s">
        <v>181</v>
      </c>
      <c r="L31" s="8" t="s">
        <v>43</v>
      </c>
    </row>
    <row r="32" spans="1:12">
      <c r="A32" s="8" t="s">
        <v>188</v>
      </c>
      <c r="B32" s="8" t="s">
        <v>98</v>
      </c>
      <c r="C32" s="8" t="s">
        <v>99</v>
      </c>
      <c r="D32" s="8" t="s">
        <v>27</v>
      </c>
      <c r="E32" s="8" t="s">
        <v>168</v>
      </c>
      <c r="F32" s="8" t="s">
        <v>189</v>
      </c>
      <c r="G32" s="10">
        <v>45920</v>
      </c>
      <c r="J32" s="8" t="s">
        <v>41</v>
      </c>
      <c r="K32" s="8" t="s">
        <v>190</v>
      </c>
      <c r="L32" s="8" t="s">
        <v>43</v>
      </c>
    </row>
    <row r="33" spans="1:12">
      <c r="A33" s="8" t="s">
        <v>188</v>
      </c>
      <c r="B33" s="8" t="s">
        <v>94</v>
      </c>
      <c r="C33" s="8" t="s">
        <v>95</v>
      </c>
      <c r="D33" s="8" t="s">
        <v>27</v>
      </c>
      <c r="E33" s="8" t="s">
        <v>168</v>
      </c>
      <c r="F33" s="8" t="s">
        <v>191</v>
      </c>
      <c r="G33" s="10">
        <v>45925</v>
      </c>
      <c r="J33" s="8" t="s">
        <v>28</v>
      </c>
      <c r="K33" s="8" t="s">
        <v>190</v>
      </c>
      <c r="L33" s="8" t="s">
        <v>43</v>
      </c>
    </row>
    <row r="34" spans="1:12">
      <c r="A34" s="8" t="s">
        <v>188</v>
      </c>
      <c r="B34" s="8" t="s">
        <v>84</v>
      </c>
      <c r="C34" s="8" t="s">
        <v>85</v>
      </c>
      <c r="D34" s="8" t="s">
        <v>51</v>
      </c>
      <c r="E34" s="8" t="s">
        <v>192</v>
      </c>
      <c r="F34" s="8" t="s">
        <v>193</v>
      </c>
      <c r="G34" s="10">
        <v>46203</v>
      </c>
      <c r="J34" s="8" t="s">
        <v>52</v>
      </c>
      <c r="K34" s="8" t="s">
        <v>194</v>
      </c>
      <c r="L34" s="8" t="s">
        <v>43</v>
      </c>
    </row>
  </sheetData>
  <autoFilter ref="A3:M34"/>
  <conditionalFormatting sqref="A4:A34">
    <cfRule type="cellIs" dxfId="0" priority="1" operator="equal">
      <formula>"High"</formula>
    </cfRule>
    <cfRule type="cellIs" dxfId="1" priority="2" operator="equal">
      <formula>"Medium"</formula>
    </cfRule>
    <cfRule type="cellIs" dxfId="4" priority="3" operator="equal">
      <formula>"Low"</formula>
    </cfRule>
  </conditionalFormatting>
  <dataValidations count="1">
    <dataValidation type="list" allowBlank="1" showInputMessage="1" showErrorMessage="1" sqref="L4:L234">
      <formula1>"No,Yes"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2.7109375" customWidth="1"/>
    <col min="2" max="2" width="28.7109375" customWidth="1"/>
    <col min="3" max="3" width="8.7109375" customWidth="1"/>
    <col min="4" max="4" width="11.7109375" customWidth="1"/>
    <col min="5" max="5" width="12.7109375" customWidth="1"/>
    <col min="6" max="6" width="22.7109375" customWidth="1"/>
    <col min="7" max="9" width="12.7109375" customWidth="1"/>
    <col min="10" max="10" width="30.7109375" customWidth="1"/>
    <col min="11" max="11" width="9.7109375" customWidth="1"/>
  </cols>
  <sheetData>
    <row r="1" spans="1:11">
      <c r="A1" s="7" t="s">
        <v>0</v>
      </c>
      <c r="B1" s="7" t="s">
        <v>1</v>
      </c>
      <c r="C1" s="7" t="s">
        <v>106</v>
      </c>
      <c r="D1" s="7" t="s">
        <v>107</v>
      </c>
      <c r="E1" s="7" t="s">
        <v>108</v>
      </c>
      <c r="F1" s="7" t="s">
        <v>109</v>
      </c>
      <c r="G1" s="7" t="s">
        <v>110</v>
      </c>
      <c r="H1" s="7" t="s">
        <v>111</v>
      </c>
      <c r="I1" s="7" t="s">
        <v>112</v>
      </c>
      <c r="J1" s="7" t="s">
        <v>113</v>
      </c>
      <c r="K1" s="7" t="s">
        <v>114</v>
      </c>
    </row>
    <row r="2" spans="1:11">
      <c r="A2" s="8" t="s">
        <v>24</v>
      </c>
      <c r="B2" s="8" t="s">
        <v>25</v>
      </c>
      <c r="C2" s="12">
        <v>1</v>
      </c>
      <c r="D2" s="11">
        <v>15000</v>
      </c>
      <c r="E2" s="10">
        <v>46204</v>
      </c>
      <c r="F2" s="8" t="s">
        <v>115</v>
      </c>
      <c r="G2" s="8" t="b">
        <f>IF($A2="","",IF(OR(F2="None",F2=""),TRUE,IF(F2="Agreement",INDEX('Grant register'!$J:$J,MATCH($A2,'Grant register'!$A:$A,0))&lt;&gt;"",IF(F2="Due diligence",INDEX('Grant register'!$K:$K,MATCH($A2,'Grant register'!$A:$A,0))&lt;&gt;"",IF(F2="Interim report",INDEX('Grant register'!$O:$O,MATCH($A2,'Grant register'!$A:$A,0))&lt;&gt;"",IF(F2="Final report",INDEX('Grant register'!$Q:$Q,MATCH($A2,'Grant register'!$A:$A,0))&lt;&gt;"",IF(F2="Evidence",INDEX('Grant register'!$S:$S,MATCH($A2,'Grant register'!$A:$A,0))="Received",IF(F2="Condition",INDEX('Grant register'!$M:$M,MATCH($A2,'Grant register'!$A:$A,0))="Yes",IF(F2="Interim report + evidence",AND(INDEX('Grant register'!$O:$O,MATCH($A2,'Grant register'!$A:$A,0))&lt;&gt;"",INDEX('Grant register'!$S:$S,MATCH($A2,'Grant register'!$A:$A,0))="Received"),FALSE)))))))))</f>
        <v>1</v>
      </c>
      <c r="H2" s="8" t="s">
        <v>116</v>
      </c>
      <c r="I2" s="8" t="s">
        <v>29</v>
      </c>
      <c r="J2" s="8" t="str">
        <f>IF($A2="","",IF(I2&lt;&gt;"","Paid",IF(H2="Verify","Blocked: verify bank details",IF(E2="","Due date missing",IF(G2,IF(E2&lt;=TODAY()+30,"Ready for approval","Scheduled"),IF(E2&lt;=TODAY()+30,"Blocked: waiting for "&amp;LOWER(F2),"Waiting: "&amp;LOWER(F2)))))))</f>
        <v>Paid</v>
      </c>
      <c r="K2" s="12">
        <f>IF(OR($A2="",I2&lt;&gt;"",E2="",E2&gt;=TODAY()),"",TODAY()-E2)</f>
        <v/>
      </c>
    </row>
    <row r="3" spans="1:11">
      <c r="A3" s="8" t="s">
        <v>24</v>
      </c>
      <c r="B3" s="8" t="s">
        <v>25</v>
      </c>
      <c r="C3" s="12">
        <v>2</v>
      </c>
      <c r="D3" s="11">
        <v>10000</v>
      </c>
      <c r="E3" s="10">
        <v>46316</v>
      </c>
      <c r="F3" s="8" t="s">
        <v>117</v>
      </c>
      <c r="G3" s="8" t="b">
        <f>IF($A3="","",IF(OR(F3="None",F3=""),TRUE,IF(F3="Agreement",INDEX('Grant register'!$J:$J,MATCH($A3,'Grant register'!$A:$A,0))&lt;&gt;"",IF(F3="Due diligence",INDEX('Grant register'!$K:$K,MATCH($A3,'Grant register'!$A:$A,0))&lt;&gt;"",IF(F3="Interim report",INDEX('Grant register'!$O:$O,MATCH($A3,'Grant register'!$A:$A,0))&lt;&gt;"",IF(F3="Final report",INDEX('Grant register'!$Q:$Q,MATCH($A3,'Grant register'!$A:$A,0))&lt;&gt;"",IF(F3="Evidence",INDEX('Grant register'!$S:$S,MATCH($A3,'Grant register'!$A:$A,0))="Received",IF(F3="Condition",INDEX('Grant register'!$M:$M,MATCH($A3,'Grant register'!$A:$A,0))="Yes",IF(F3="Interim report + evidence",AND(INDEX('Grant register'!$O:$O,MATCH($A3,'Grant register'!$A:$A,0))&lt;&gt;"",INDEX('Grant register'!$S:$S,MATCH($A3,'Grant register'!$A:$A,0))="Received"),FALSE)))))))))</f>
        <v>0</v>
      </c>
      <c r="H3" s="8" t="s">
        <v>116</v>
      </c>
      <c r="I3" s="8"/>
      <c r="J3" s="8" t="str">
        <f>IF($A3="","",IF(I3&lt;&gt;"","Paid",IF(H3="Verify","Blocked: verify bank details",IF(E3="","Due date missing",IF(G3,IF(E3&lt;=TODAY()+30,"Ready for approval","Scheduled"),IF(E3&lt;=TODAY()+30,"Blocked: waiting for "&amp;LOWER(F3),"Waiting: "&amp;LOWER(F3)))))))</f>
        <v>Blocked: waiting for interim report + evidence</v>
      </c>
      <c r="K3" s="12">
        <f>IF(OR($A3="",I3&lt;&gt;"",E3="",E3&gt;=TODAY()),"",TODAY()-E3)</f>
        <v/>
      </c>
    </row>
    <row r="4" spans="1:11">
      <c r="A4" s="8" t="s">
        <v>35</v>
      </c>
      <c r="B4" s="8" t="s">
        <v>36</v>
      </c>
      <c r="C4" s="12">
        <v>1</v>
      </c>
      <c r="D4" s="11">
        <v>5000</v>
      </c>
      <c r="E4" s="10">
        <v>45964</v>
      </c>
      <c r="F4" s="8" t="s">
        <v>115</v>
      </c>
      <c r="G4" s="8" t="b">
        <f>IF($A4="","",IF(OR(F4="None",F4=""),TRUE,IF(F4="Agreement",INDEX('Grant register'!$J:$J,MATCH($A4,'Grant register'!$A:$A,0))&lt;&gt;"",IF(F4="Due diligence",INDEX('Grant register'!$K:$K,MATCH($A4,'Grant register'!$A:$A,0))&lt;&gt;"",IF(F4="Interim report",INDEX('Grant register'!$O:$O,MATCH($A4,'Grant register'!$A:$A,0))&lt;&gt;"",IF(F4="Final report",INDEX('Grant register'!$Q:$Q,MATCH($A4,'Grant register'!$A:$A,0))&lt;&gt;"",IF(F4="Evidence",INDEX('Grant register'!$S:$S,MATCH($A4,'Grant register'!$A:$A,0))="Received",IF(F4="Condition",INDEX('Grant register'!$M:$M,MATCH($A4,'Grant register'!$A:$A,0))="Yes",IF(F4="Interim report + evidence",AND(INDEX('Grant register'!$O:$O,MATCH($A4,'Grant register'!$A:$A,0))&lt;&gt;"",INDEX('Grant register'!$S:$S,MATCH($A4,'Grant register'!$A:$A,0))="Received"),FALSE)))))))))</f>
        <v>1</v>
      </c>
      <c r="H4" s="8" t="s">
        <v>116</v>
      </c>
      <c r="I4" s="8" t="s">
        <v>29</v>
      </c>
      <c r="J4" s="8" t="str">
        <f>IF($A4="","",IF(I4&lt;&gt;"","Paid",IF(H4="Verify","Blocked: verify bank details",IF(E4="","Due date missing",IF(G4,IF(E4&lt;=TODAY()+30,"Ready for approval","Scheduled"),IF(E4&lt;=TODAY()+30,"Blocked: waiting for "&amp;LOWER(F4),"Waiting: "&amp;LOWER(F4)))))))</f>
        <v>Paid</v>
      </c>
      <c r="K4" s="12">
        <f>IF(OR($A4="",I4&lt;&gt;"",E4="",E4&gt;=TODAY()),"",TODAY()-E4)</f>
        <v/>
      </c>
    </row>
    <row r="5" spans="1:11">
      <c r="A5" s="8" t="s">
        <v>37</v>
      </c>
      <c r="B5" s="8" t="s">
        <v>38</v>
      </c>
      <c r="C5" s="12">
        <v>1</v>
      </c>
      <c r="D5" s="11">
        <v>6250</v>
      </c>
      <c r="E5" s="10">
        <v>46037</v>
      </c>
      <c r="F5" s="8" t="s">
        <v>115</v>
      </c>
      <c r="G5" s="8" t="b">
        <f>IF($A5="","",IF(OR(F5="None",F5=""),TRUE,IF(F5="Agreement",INDEX('Grant register'!$J:$J,MATCH($A5,'Grant register'!$A:$A,0))&lt;&gt;"",IF(F5="Due diligence",INDEX('Grant register'!$K:$K,MATCH($A5,'Grant register'!$A:$A,0))&lt;&gt;"",IF(F5="Interim report",INDEX('Grant register'!$O:$O,MATCH($A5,'Grant register'!$A:$A,0))&lt;&gt;"",IF(F5="Final report",INDEX('Grant register'!$Q:$Q,MATCH($A5,'Grant register'!$A:$A,0))&lt;&gt;"",IF(F5="Evidence",INDEX('Grant register'!$S:$S,MATCH($A5,'Grant register'!$A:$A,0))="Received",IF(F5="Condition",INDEX('Grant register'!$M:$M,MATCH($A5,'Grant register'!$A:$A,0))="Yes",IF(F5="Interim report + evidence",AND(INDEX('Grant register'!$O:$O,MATCH($A5,'Grant register'!$A:$A,0))&lt;&gt;"",INDEX('Grant register'!$S:$S,MATCH($A5,'Grant register'!$A:$A,0))="Received"),FALSE)))))))))</f>
        <v>1</v>
      </c>
      <c r="H5" s="8" t="s">
        <v>116</v>
      </c>
      <c r="I5" s="8" t="s">
        <v>29</v>
      </c>
      <c r="J5" s="8" t="str">
        <f>IF($A5="","",IF(I5&lt;&gt;"","Paid",IF(H5="Verify","Blocked: verify bank details",IF(E5="","Due date missing",IF(G5,IF(E5&lt;=TODAY()+30,"Ready for approval","Scheduled"),IF(E5&lt;=TODAY()+30,"Blocked: waiting for "&amp;LOWER(F5),"Waiting: "&amp;LOWER(F5)))))))</f>
        <v>Paid</v>
      </c>
      <c r="K5" s="12">
        <f>IF(OR($A5="",I5&lt;&gt;"",E5="",E5&gt;=TODAY()),"",TODAY()-E5)</f>
        <v/>
      </c>
    </row>
    <row r="6" spans="1:11">
      <c r="A6" s="8" t="s">
        <v>37</v>
      </c>
      <c r="B6" s="8" t="s">
        <v>38</v>
      </c>
      <c r="C6" s="12">
        <v>2</v>
      </c>
      <c r="D6" s="11">
        <v>6250</v>
      </c>
      <c r="E6" s="10">
        <v>46266</v>
      </c>
      <c r="F6" s="8" t="s">
        <v>118</v>
      </c>
      <c r="G6" s="8" t="b">
        <f>IF($A6="","",IF(OR(F6="None",F6=""),TRUE,IF(F6="Agreement",INDEX('Grant register'!$J:$J,MATCH($A6,'Grant register'!$A:$A,0))&lt;&gt;"",IF(F6="Due diligence",INDEX('Grant register'!$K:$K,MATCH($A6,'Grant register'!$A:$A,0))&lt;&gt;"",IF(F6="Interim report",INDEX('Grant register'!$O:$O,MATCH($A6,'Grant register'!$A:$A,0))&lt;&gt;"",IF(F6="Final report",INDEX('Grant register'!$Q:$Q,MATCH($A6,'Grant register'!$A:$A,0))&lt;&gt;"",IF(F6="Evidence",INDEX('Grant register'!$S:$S,MATCH($A6,'Grant register'!$A:$A,0))="Received",IF(F6="Condition",INDEX('Grant register'!$M:$M,MATCH($A6,'Grant register'!$A:$A,0))="Yes",IF(F6="Interim report + evidence",AND(INDEX('Grant register'!$O:$O,MATCH($A6,'Grant register'!$A:$A,0))&lt;&gt;"",INDEX('Grant register'!$S:$S,MATCH($A6,'Grant register'!$A:$A,0))="Received"),FALSE)))))))))</f>
        <v>0</v>
      </c>
      <c r="H6" s="8" t="s">
        <v>116</v>
      </c>
      <c r="I6" s="8"/>
      <c r="J6" s="8" t="str">
        <f>IF($A6="","",IF(I6&lt;&gt;"","Paid",IF(H6="Verify","Blocked: verify bank details",IF(E6="","Due date missing",IF(G6,IF(E6&lt;=TODAY()+30,"Ready for approval","Scheduled"),IF(E6&lt;=TODAY()+30,"Blocked: waiting for "&amp;LOWER(F6),"Waiting: "&amp;LOWER(F6)))))))</f>
        <v>Blocked: waiting for interim report</v>
      </c>
      <c r="K6" s="12">
        <f>IF(OR($A6="",I6&lt;&gt;"",E6="",E6&gt;=TODAY()),"",TODAY()-E6)</f>
        <v>27</v>
      </c>
    </row>
    <row r="7" spans="1:11">
      <c r="A7" s="8" t="s">
        <v>45</v>
      </c>
      <c r="B7" s="8" t="s">
        <v>46</v>
      </c>
      <c r="C7" s="12">
        <v>1</v>
      </c>
      <c r="D7" s="11">
        <v>3000</v>
      </c>
      <c r="E7" s="10">
        <v>46086</v>
      </c>
      <c r="F7" s="8" t="s">
        <v>115</v>
      </c>
      <c r="G7" s="8" t="b">
        <f>IF($A7="","",IF(OR(F7="None",F7=""),TRUE,IF(F7="Agreement",INDEX('Grant register'!$J:$J,MATCH($A7,'Grant register'!$A:$A,0))&lt;&gt;"",IF(F7="Due diligence",INDEX('Grant register'!$K:$K,MATCH($A7,'Grant register'!$A:$A,0))&lt;&gt;"",IF(F7="Interim report",INDEX('Grant register'!$O:$O,MATCH($A7,'Grant register'!$A:$A,0))&lt;&gt;"",IF(F7="Final report",INDEX('Grant register'!$Q:$Q,MATCH($A7,'Grant register'!$A:$A,0))&lt;&gt;"",IF(F7="Evidence",INDEX('Grant register'!$S:$S,MATCH($A7,'Grant register'!$A:$A,0))="Received",IF(F7="Condition",INDEX('Grant register'!$M:$M,MATCH($A7,'Grant register'!$A:$A,0))="Yes",IF(F7="Interim report + evidence",AND(INDEX('Grant register'!$O:$O,MATCH($A7,'Grant register'!$A:$A,0))&lt;&gt;"",INDEX('Grant register'!$S:$S,MATCH($A7,'Grant register'!$A:$A,0))="Received"),FALSE)))))))))</f>
        <v>0</v>
      </c>
      <c r="H7" s="8" t="s">
        <v>116</v>
      </c>
      <c r="I7" s="8" t="s">
        <v>29</v>
      </c>
      <c r="J7" s="8" t="str">
        <f>IF($A7="","",IF(I7&lt;&gt;"","Paid",IF(H7="Verify","Blocked: verify bank details",IF(E7="","Due date missing",IF(G7,IF(E7&lt;=TODAY()+30,"Ready for approval","Scheduled"),IF(E7&lt;=TODAY()+30,"Blocked: waiting for "&amp;LOWER(F7),"Waiting: "&amp;LOWER(F7)))))))</f>
        <v>Paid</v>
      </c>
      <c r="K7" s="12">
        <f>IF(OR($A7="",I7&lt;&gt;"",E7="",E7&gt;=TODAY()),"",TODAY()-E7)</f>
        <v/>
      </c>
    </row>
    <row r="8" spans="1:11">
      <c r="A8" s="8" t="s">
        <v>48</v>
      </c>
      <c r="B8" s="8" t="s">
        <v>49</v>
      </c>
      <c r="C8" s="12">
        <v>1</v>
      </c>
      <c r="D8" s="11">
        <v>10000</v>
      </c>
      <c r="E8" s="10">
        <v>46034</v>
      </c>
      <c r="F8" s="8" t="s">
        <v>115</v>
      </c>
      <c r="G8" s="8" t="b">
        <f>IF($A8="","",IF(OR(F8="None",F8=""),TRUE,IF(F8="Agreement",INDEX('Grant register'!$J:$J,MATCH($A8,'Grant register'!$A:$A,0))&lt;&gt;"",IF(F8="Due diligence",INDEX('Grant register'!$K:$K,MATCH($A8,'Grant register'!$A:$A,0))&lt;&gt;"",IF(F8="Interim report",INDEX('Grant register'!$O:$O,MATCH($A8,'Grant register'!$A:$A,0))&lt;&gt;"",IF(F8="Final report",INDEX('Grant register'!$Q:$Q,MATCH($A8,'Grant register'!$A:$A,0))&lt;&gt;"",IF(F8="Evidence",INDEX('Grant register'!$S:$S,MATCH($A8,'Grant register'!$A:$A,0))="Received",IF(F8="Condition",INDEX('Grant register'!$M:$M,MATCH($A8,'Grant register'!$A:$A,0))="Yes",IF(F8="Interim report + evidence",AND(INDEX('Grant register'!$O:$O,MATCH($A8,'Grant register'!$A:$A,0))&lt;&gt;"",INDEX('Grant register'!$S:$S,MATCH($A8,'Grant register'!$A:$A,0))="Received"),FALSE)))))))))</f>
        <v>1</v>
      </c>
      <c r="H8" s="8" t="s">
        <v>116</v>
      </c>
      <c r="I8" s="8" t="s">
        <v>29</v>
      </c>
      <c r="J8" s="8" t="str">
        <f>IF($A8="","",IF(I8&lt;&gt;"","Paid",IF(H8="Verify","Blocked: verify bank details",IF(E8="","Due date missing",IF(G8,IF(E8&lt;=TODAY()+30,"Ready for approval","Scheduled"),IF(E8&lt;=TODAY()+30,"Blocked: waiting for "&amp;LOWER(F8),"Waiting: "&amp;LOWER(F8)))))))</f>
        <v>Paid</v>
      </c>
      <c r="K8" s="12">
        <f>IF(OR($A8="",I8&lt;&gt;"",E8="",E8&gt;=TODAY()),"",TODAY()-E8)</f>
        <v/>
      </c>
    </row>
    <row r="9" spans="1:11">
      <c r="A9" s="8" t="s">
        <v>48</v>
      </c>
      <c r="B9" s="8" t="s">
        <v>49</v>
      </c>
      <c r="C9" s="12">
        <v>2</v>
      </c>
      <c r="D9" s="11">
        <v>10000</v>
      </c>
      <c r="E9" s="10">
        <v>46113</v>
      </c>
      <c r="F9" s="8" t="s">
        <v>115</v>
      </c>
      <c r="G9" s="8" t="b">
        <f>IF($A9="","",IF(OR(F9="None",F9=""),TRUE,IF(F9="Agreement",INDEX('Grant register'!$J:$J,MATCH($A9,'Grant register'!$A:$A,0))&lt;&gt;"",IF(F9="Due diligence",INDEX('Grant register'!$K:$K,MATCH($A9,'Grant register'!$A:$A,0))&lt;&gt;"",IF(F9="Interim report",INDEX('Grant register'!$O:$O,MATCH($A9,'Grant register'!$A:$A,0))&lt;&gt;"",IF(F9="Final report",INDEX('Grant register'!$Q:$Q,MATCH($A9,'Grant register'!$A:$A,0))&lt;&gt;"",IF(F9="Evidence",INDEX('Grant register'!$S:$S,MATCH($A9,'Grant register'!$A:$A,0))="Received",IF(F9="Condition",INDEX('Grant register'!$M:$M,MATCH($A9,'Grant register'!$A:$A,0))="Yes",IF(F9="Interim report + evidence",AND(INDEX('Grant register'!$O:$O,MATCH($A9,'Grant register'!$A:$A,0))&lt;&gt;"",INDEX('Grant register'!$S:$S,MATCH($A9,'Grant register'!$A:$A,0))="Received"),FALSE)))))))))</f>
        <v>1</v>
      </c>
      <c r="H9" s="8" t="s">
        <v>116</v>
      </c>
      <c r="I9" s="8" t="s">
        <v>29</v>
      </c>
      <c r="J9" s="8" t="str">
        <f>IF($A9="","",IF(I9&lt;&gt;"","Paid",IF(H9="Verify","Blocked: verify bank details",IF(E9="","Due date missing",IF(G9,IF(E9&lt;=TODAY()+30,"Ready for approval","Scheduled"),IF(E9&lt;=TODAY()+30,"Blocked: waiting for "&amp;LOWER(F9),"Waiting: "&amp;LOWER(F9)))))))</f>
        <v>Paid</v>
      </c>
      <c r="K9" s="12">
        <f>IF(OR($A9="",I9&lt;&gt;"",E9="",E9&gt;=TODAY()),"",TODAY()-E9)</f>
        <v/>
      </c>
    </row>
    <row r="10" spans="1:11">
      <c r="A10" s="8" t="s">
        <v>48</v>
      </c>
      <c r="B10" s="8" t="s">
        <v>49</v>
      </c>
      <c r="C10" s="12">
        <v>3</v>
      </c>
      <c r="D10" s="11">
        <v>20000</v>
      </c>
      <c r="E10" s="10">
        <v>46296</v>
      </c>
      <c r="F10" s="8" t="s">
        <v>119</v>
      </c>
      <c r="G10" s="8" t="b">
        <f>IF($A10="","",IF(OR(F10="None",F10=""),TRUE,IF(F10="Agreement",INDEX('Grant register'!$J:$J,MATCH($A10,'Grant register'!$A:$A,0))&lt;&gt;"",IF(F10="Due diligence",INDEX('Grant register'!$K:$K,MATCH($A10,'Grant register'!$A:$A,0))&lt;&gt;"",IF(F10="Interim report",INDEX('Grant register'!$O:$O,MATCH($A10,'Grant register'!$A:$A,0))&lt;&gt;"",IF(F10="Final report",INDEX('Grant register'!$Q:$Q,MATCH($A10,'Grant register'!$A:$A,0))&lt;&gt;"",IF(F10="Evidence",INDEX('Grant register'!$S:$S,MATCH($A10,'Grant register'!$A:$A,0))="Received",IF(F10="Condition",INDEX('Grant register'!$M:$M,MATCH($A10,'Grant register'!$A:$A,0))="Yes",IF(F10="Interim report + evidence",AND(INDEX('Grant register'!$O:$O,MATCH($A10,'Grant register'!$A:$A,0))&lt;&gt;"",INDEX('Grant register'!$S:$S,MATCH($A10,'Grant register'!$A:$A,0))="Received"),FALSE)))))))))</f>
        <v>0</v>
      </c>
      <c r="H10" s="8" t="s">
        <v>116</v>
      </c>
      <c r="I10" s="8"/>
      <c r="J10" s="8" t="str">
        <f>IF($A10="","",IF(I10&lt;&gt;"","Paid",IF(H10="Verify","Blocked: verify bank details",IF(E10="","Due date missing",IF(G10,IF(E10&lt;=TODAY()+30,"Ready for approval","Scheduled"),IF(E10&lt;=TODAY()+30,"Blocked: waiting for "&amp;LOWER(F10),"Waiting: "&amp;LOWER(F10)))))))</f>
        <v>Blocked: waiting for condition</v>
      </c>
      <c r="K10" s="12">
        <f>IF(OR($A10="",I10&lt;&gt;"",E10="",E10&gt;=TODAY()),"",TODAY()-E10)</f>
        <v/>
      </c>
    </row>
    <row r="11" spans="1:11">
      <c r="A11" s="8" t="s">
        <v>56</v>
      </c>
      <c r="B11" s="8" t="s">
        <v>57</v>
      </c>
      <c r="C11" s="12">
        <v>1</v>
      </c>
      <c r="D11" s="11">
        <v>9000</v>
      </c>
      <c r="E11" s="10">
        <v>46073</v>
      </c>
      <c r="F11" s="8" t="s">
        <v>115</v>
      </c>
      <c r="G11" s="8" t="b">
        <f>IF($A11="","",IF(OR(F11="None",F11=""),TRUE,IF(F11="Agreement",INDEX('Grant register'!$J:$J,MATCH($A11,'Grant register'!$A:$A,0))&lt;&gt;"",IF(F11="Due diligence",INDEX('Grant register'!$K:$K,MATCH($A11,'Grant register'!$A:$A,0))&lt;&gt;"",IF(F11="Interim report",INDEX('Grant register'!$O:$O,MATCH($A11,'Grant register'!$A:$A,0))&lt;&gt;"",IF(F11="Final report",INDEX('Grant register'!$Q:$Q,MATCH($A11,'Grant register'!$A:$A,0))&lt;&gt;"",IF(F11="Evidence",INDEX('Grant register'!$S:$S,MATCH($A11,'Grant register'!$A:$A,0))="Received",IF(F11="Condition",INDEX('Grant register'!$M:$M,MATCH($A11,'Grant register'!$A:$A,0))="Yes",IF(F11="Interim report + evidence",AND(INDEX('Grant register'!$O:$O,MATCH($A11,'Grant register'!$A:$A,0))&lt;&gt;"",INDEX('Grant register'!$S:$S,MATCH($A11,'Grant register'!$A:$A,0))="Received"),FALSE)))))))))</f>
        <v>1</v>
      </c>
      <c r="H11" s="8" t="s">
        <v>116</v>
      </c>
      <c r="I11" s="8" t="s">
        <v>29</v>
      </c>
      <c r="J11" s="8" t="str">
        <f>IF($A11="","",IF(I11&lt;&gt;"","Paid",IF(H11="Verify","Blocked: verify bank details",IF(E11="","Due date missing",IF(G11,IF(E11&lt;=TODAY()+30,"Ready for approval","Scheduled"),IF(E11&lt;=TODAY()+30,"Blocked: waiting for "&amp;LOWER(F11),"Waiting: "&amp;LOWER(F11)))))))</f>
        <v>Paid</v>
      </c>
      <c r="K11" s="12">
        <f>IF(OR($A11="",I11&lt;&gt;"",E11="",E11&gt;=TODAY()),"",TODAY()-E11)</f>
        <v/>
      </c>
    </row>
    <row r="12" spans="1:11">
      <c r="A12" s="8" t="s">
        <v>56</v>
      </c>
      <c r="B12" s="8" t="s">
        <v>57</v>
      </c>
      <c r="C12" s="12">
        <v>2</v>
      </c>
      <c r="D12" s="11">
        <v>9000</v>
      </c>
      <c r="E12" s="10">
        <v>46326</v>
      </c>
      <c r="F12" s="8" t="s">
        <v>120</v>
      </c>
      <c r="G12" s="8" t="b">
        <f>IF($A12="","",IF(OR(F12="None",F12=""),TRUE,IF(F12="Agreement",INDEX('Grant register'!$J:$J,MATCH($A12,'Grant register'!$A:$A,0))&lt;&gt;"",IF(F12="Due diligence",INDEX('Grant register'!$K:$K,MATCH($A12,'Grant register'!$A:$A,0))&lt;&gt;"",IF(F12="Interim report",INDEX('Grant register'!$O:$O,MATCH($A12,'Grant register'!$A:$A,0))&lt;&gt;"",IF(F12="Final report",INDEX('Grant register'!$Q:$Q,MATCH($A12,'Grant register'!$A:$A,0))&lt;&gt;"",IF(F12="Evidence",INDEX('Grant register'!$S:$S,MATCH($A12,'Grant register'!$A:$A,0))="Received",IF(F12="Condition",INDEX('Grant register'!$M:$M,MATCH($A12,'Grant register'!$A:$A,0))="Yes",IF(F12="Interim report + evidence",AND(INDEX('Grant register'!$O:$O,MATCH($A12,'Grant register'!$A:$A,0))&lt;&gt;"",INDEX('Grant register'!$S:$S,MATCH($A12,'Grant register'!$A:$A,0))="Received"),FALSE)))))))))</f>
        <v>0</v>
      </c>
      <c r="H12" s="8" t="s">
        <v>121</v>
      </c>
      <c r="I12" s="8"/>
      <c r="J12" s="8" t="str">
        <f>IF($A12="","",IF(I12&lt;&gt;"","Paid",IF(H12="Verify","Blocked: verify bank details",IF(E12="","Due date missing",IF(G12,IF(E12&lt;=TODAY()+30,"Ready for approval","Scheduled"),IF(E12&lt;=TODAY()+30,"Blocked: waiting for "&amp;LOWER(F12),"Waiting: "&amp;LOWER(F12)))))))</f>
        <v>Blocked: verify bank details</v>
      </c>
      <c r="K12" s="12">
        <f>IF(OR($A12="",I12&lt;&gt;"",E12="",E12&gt;=TODAY()),"",TODAY()-E12)</f>
        <v/>
      </c>
    </row>
    <row r="13" spans="1:11">
      <c r="A13" s="8" t="s">
        <v>61</v>
      </c>
      <c r="B13" s="8" t="s">
        <v>62</v>
      </c>
      <c r="C13" s="12">
        <v>1</v>
      </c>
      <c r="D13" s="11">
        <v>2500</v>
      </c>
      <c r="E13" s="10">
        <v>46266</v>
      </c>
      <c r="F13" s="8" t="s">
        <v>115</v>
      </c>
      <c r="G13" s="8" t="b">
        <f>IF($A13="","",IF(OR(F13="None",F13=""),TRUE,IF(F13="Agreement",INDEX('Grant register'!$J:$J,MATCH($A13,'Grant register'!$A:$A,0))&lt;&gt;"",IF(F13="Due diligence",INDEX('Grant register'!$K:$K,MATCH($A13,'Grant register'!$A:$A,0))&lt;&gt;"",IF(F13="Interim report",INDEX('Grant register'!$O:$O,MATCH($A13,'Grant register'!$A:$A,0))&lt;&gt;"",IF(F13="Final report",INDEX('Grant register'!$Q:$Q,MATCH($A13,'Grant register'!$A:$A,0))&lt;&gt;"",IF(F13="Evidence",INDEX('Grant register'!$S:$S,MATCH($A13,'Grant register'!$A:$A,0))="Received",IF(F13="Condition",INDEX('Grant register'!$M:$M,MATCH($A13,'Grant register'!$A:$A,0))="Yes",IF(F13="Interim report + evidence",AND(INDEX('Grant register'!$O:$O,MATCH($A13,'Grant register'!$A:$A,0))&lt;&gt;"",INDEX('Grant register'!$S:$S,MATCH($A13,'Grant register'!$A:$A,0))="Received"),FALSE)))))))))</f>
        <v>1</v>
      </c>
      <c r="H13" s="8" t="s">
        <v>116</v>
      </c>
      <c r="I13" s="8" t="s">
        <v>29</v>
      </c>
      <c r="J13" s="8" t="str">
        <f>IF($A13="","",IF(I13&lt;&gt;"","Paid",IF(H13="Verify","Blocked: verify bank details",IF(E13="","Due date missing",IF(G13,IF(E13&lt;=TODAY()+30,"Ready for approval","Scheduled"),IF(E13&lt;=TODAY()+30,"Blocked: waiting for "&amp;LOWER(F13),"Waiting: "&amp;LOWER(F13)))))))</f>
        <v>Paid</v>
      </c>
      <c r="K13" s="12">
        <f>IF(OR($A13="",I13&lt;&gt;"",E13="",E13&gt;=TODAY()),"",TODAY()-E13)</f>
        <v/>
      </c>
    </row>
    <row r="14" spans="1:11">
      <c r="A14" s="8" t="s">
        <v>65</v>
      </c>
      <c r="B14" s="8" t="s">
        <v>62</v>
      </c>
      <c r="C14" s="12">
        <v>1</v>
      </c>
      <c r="D14" s="11">
        <v>1500</v>
      </c>
      <c r="E14" s="10">
        <v>46295</v>
      </c>
      <c r="F14" s="8" t="s">
        <v>115</v>
      </c>
      <c r="G14" s="8" t="b">
        <f>IF($A14="","",IF(OR(F14="None",F14=""),TRUE,IF(F14="Agreement",INDEX('Grant register'!$J:$J,MATCH($A14,'Grant register'!$A:$A,0))&lt;&gt;"",IF(F14="Due diligence",INDEX('Grant register'!$K:$K,MATCH($A14,'Grant register'!$A:$A,0))&lt;&gt;"",IF(F14="Interim report",INDEX('Grant register'!$O:$O,MATCH($A14,'Grant register'!$A:$A,0))&lt;&gt;"",IF(F14="Final report",INDEX('Grant register'!$Q:$Q,MATCH($A14,'Grant register'!$A:$A,0))&lt;&gt;"",IF(F14="Evidence",INDEX('Grant register'!$S:$S,MATCH($A14,'Grant register'!$A:$A,0))="Received",IF(F14="Condition",INDEX('Grant register'!$M:$M,MATCH($A14,'Grant register'!$A:$A,0))="Yes",IF(F14="Interim report + evidence",AND(INDEX('Grant register'!$O:$O,MATCH($A14,'Grant register'!$A:$A,0))&lt;&gt;"",INDEX('Grant register'!$S:$S,MATCH($A14,'Grant register'!$A:$A,0))="Received"),FALSE)))))))))</f>
        <v>0</v>
      </c>
      <c r="H14" s="8" t="s">
        <v>116</v>
      </c>
      <c r="I14" s="8"/>
      <c r="J14" s="8" t="str">
        <f>IF($A14="","",IF(I14&lt;&gt;"","Paid",IF(H14="Verify","Blocked: verify bank details",IF(E14="","Due date missing",IF(G14,IF(E14&lt;=TODAY()+30,"Ready for approval","Scheduled"),IF(E14&lt;=TODAY()+30,"Blocked: waiting for "&amp;LOWER(F14),"Waiting: "&amp;LOWER(F14)))))))</f>
        <v>Blocked: waiting for agreement</v>
      </c>
      <c r="K14" s="12">
        <f>IF(OR($A14="",I14&lt;&gt;"",E14="",E14&gt;=TODAY()),"",TODAY()-E14)</f>
        <v/>
      </c>
    </row>
    <row r="15" spans="1:11">
      <c r="A15" s="8" t="s">
        <v>66</v>
      </c>
      <c r="B15" s="8" t="s">
        <v>67</v>
      </c>
      <c r="C15" s="12">
        <v>1</v>
      </c>
      <c r="D15" s="11">
        <v>15000</v>
      </c>
      <c r="E15" s="10">
        <v>46063</v>
      </c>
      <c r="F15" s="8" t="s">
        <v>115</v>
      </c>
      <c r="G15" s="8" t="b">
        <f>IF($A15="","",IF(OR(F15="None",F15=""),TRUE,IF(F15="Agreement",INDEX('Grant register'!$J:$J,MATCH($A15,'Grant register'!$A:$A,0))&lt;&gt;"",IF(F15="Due diligence",INDEX('Grant register'!$K:$K,MATCH($A15,'Grant register'!$A:$A,0))&lt;&gt;"",IF(F15="Interim report",INDEX('Grant register'!$O:$O,MATCH($A15,'Grant register'!$A:$A,0))&lt;&gt;"",IF(F15="Final report",INDEX('Grant register'!$Q:$Q,MATCH($A15,'Grant register'!$A:$A,0))&lt;&gt;"",IF(F15="Evidence",INDEX('Grant register'!$S:$S,MATCH($A15,'Grant register'!$A:$A,0))="Received",IF(F15="Condition",INDEX('Grant register'!$M:$M,MATCH($A15,'Grant register'!$A:$A,0))="Yes",IF(F15="Interim report + evidence",AND(INDEX('Grant register'!$O:$O,MATCH($A15,'Grant register'!$A:$A,0))&lt;&gt;"",INDEX('Grant register'!$S:$S,MATCH($A15,'Grant register'!$A:$A,0))="Received"),FALSE)))))))))</f>
        <v>1</v>
      </c>
      <c r="H15" s="8" t="s">
        <v>116</v>
      </c>
      <c r="I15" s="8" t="s">
        <v>29</v>
      </c>
      <c r="J15" s="8" t="str">
        <f>IF($A15="","",IF(I15&lt;&gt;"","Paid",IF(H15="Verify","Blocked: verify bank details",IF(E15="","Due date missing",IF(G15,IF(E15&lt;=TODAY()+30,"Ready for approval","Scheduled"),IF(E15&lt;=TODAY()+30,"Blocked: waiting for "&amp;LOWER(F15),"Waiting: "&amp;LOWER(F15)))))))</f>
        <v>Paid</v>
      </c>
      <c r="K15" s="12">
        <f>IF(OR($A15="",I15&lt;&gt;"",E15="",E15&gt;=TODAY()),"",TODAY()-E15)</f>
        <v/>
      </c>
    </row>
    <row r="16" spans="1:11">
      <c r="A16" s="8" t="s">
        <v>66</v>
      </c>
      <c r="B16" s="8" t="s">
        <v>67</v>
      </c>
      <c r="C16" s="12">
        <v>2</v>
      </c>
      <c r="D16" s="11">
        <v>15000</v>
      </c>
      <c r="E16" s="10">
        <v>46275</v>
      </c>
      <c r="F16" s="8" t="s">
        <v>118</v>
      </c>
      <c r="G16" s="8" t="b">
        <f>IF($A16="","",IF(OR(F16="None",F16=""),TRUE,IF(F16="Agreement",INDEX('Grant register'!$J:$J,MATCH($A16,'Grant register'!$A:$A,0))&lt;&gt;"",IF(F16="Due diligence",INDEX('Grant register'!$K:$K,MATCH($A16,'Grant register'!$A:$A,0))&lt;&gt;"",IF(F16="Interim report",INDEX('Grant register'!$O:$O,MATCH($A16,'Grant register'!$A:$A,0))&lt;&gt;"",IF(F16="Final report",INDEX('Grant register'!$Q:$Q,MATCH($A16,'Grant register'!$A:$A,0))&lt;&gt;"",IF(F16="Evidence",INDEX('Grant register'!$S:$S,MATCH($A16,'Grant register'!$A:$A,0))="Received",IF(F16="Condition",INDEX('Grant register'!$M:$M,MATCH($A16,'Grant register'!$A:$A,0))="Yes",IF(F16="Interim report + evidence",AND(INDEX('Grant register'!$O:$O,MATCH($A16,'Grant register'!$A:$A,0))&lt;&gt;"",INDEX('Grant register'!$S:$S,MATCH($A16,'Grant register'!$A:$A,0))="Received"),FALSE)))))))))</f>
        <v>1</v>
      </c>
      <c r="H16" s="8" t="s">
        <v>116</v>
      </c>
      <c r="I16" s="8"/>
      <c r="J16" s="8" t="str">
        <f>IF($A16="","",IF(I16&lt;&gt;"","Paid",IF(H16="Verify","Blocked: verify bank details",IF(E16="","Due date missing",IF(G16,IF(E16&lt;=TODAY()+30,"Ready for approval","Scheduled"),IF(E16&lt;=TODAY()+30,"Blocked: waiting for "&amp;LOWER(F16),"Waiting: "&amp;LOWER(F16)))))))</f>
        <v>Ready for approval</v>
      </c>
      <c r="K16" s="12">
        <f>IF(OR($A16="",I16&lt;&gt;"",E16="",E16&gt;=TODAY()),"",TODAY()-E16)</f>
        <v>18</v>
      </c>
    </row>
    <row r="17" spans="1:11">
      <c r="A17" s="8" t="s">
        <v>70</v>
      </c>
      <c r="B17" s="8" t="s">
        <v>71</v>
      </c>
      <c r="C17" s="12">
        <v>1</v>
      </c>
      <c r="D17" s="11">
        <v>4000</v>
      </c>
      <c r="E17" s="10">
        <v>46115</v>
      </c>
      <c r="F17" s="8" t="s">
        <v>115</v>
      </c>
      <c r="G17" s="8" t="b">
        <f>IF($A17="","",IF(OR(F17="None",F17=""),TRUE,IF(F17="Agreement",INDEX('Grant register'!$J:$J,MATCH($A17,'Grant register'!$A:$A,0))&lt;&gt;"",IF(F17="Due diligence",INDEX('Grant register'!$K:$K,MATCH($A17,'Grant register'!$A:$A,0))&lt;&gt;"",IF(F17="Interim report",INDEX('Grant register'!$O:$O,MATCH($A17,'Grant register'!$A:$A,0))&lt;&gt;"",IF(F17="Final report",INDEX('Grant register'!$Q:$Q,MATCH($A17,'Grant register'!$A:$A,0))&lt;&gt;"",IF(F17="Evidence",INDEX('Grant register'!$S:$S,MATCH($A17,'Grant register'!$A:$A,0))="Received",IF(F17="Condition",INDEX('Grant register'!$M:$M,MATCH($A17,'Grant register'!$A:$A,0))="Yes",IF(F17="Interim report + evidence",AND(INDEX('Grant register'!$O:$O,MATCH($A17,'Grant register'!$A:$A,0))&lt;&gt;"",INDEX('Grant register'!$S:$S,MATCH($A17,'Grant register'!$A:$A,0))="Received"),FALSE)))))))))</f>
        <v>1</v>
      </c>
      <c r="H17" s="8" t="s">
        <v>116</v>
      </c>
      <c r="I17" s="8" t="s">
        <v>29</v>
      </c>
      <c r="J17" s="8" t="str">
        <f>IF($A17="","",IF(I17&lt;&gt;"","Paid",IF(H17="Verify","Blocked: verify bank details",IF(E17="","Due date missing",IF(G17,IF(E17&lt;=TODAY()+30,"Ready for approval","Scheduled"),IF(E17&lt;=TODAY()+30,"Blocked: waiting for "&amp;LOWER(F17),"Waiting: "&amp;LOWER(F17)))))))</f>
        <v>Paid</v>
      </c>
      <c r="K17" s="12">
        <f>IF(OR($A17="",I17&lt;&gt;"",E17="",E17&gt;=TODAY()),"",TODAY()-E17)</f>
        <v/>
      </c>
    </row>
    <row r="18" spans="1:11">
      <c r="A18" s="8" t="s">
        <v>73</v>
      </c>
      <c r="B18" s="8" t="s">
        <v>74</v>
      </c>
      <c r="C18" s="12">
        <v>1</v>
      </c>
      <c r="D18" s="11">
        <v>4000</v>
      </c>
      <c r="E18" s="10">
        <v>46143</v>
      </c>
      <c r="F18" s="8" t="s">
        <v>115</v>
      </c>
      <c r="G18" s="8" t="b">
        <f>IF($A18="","",IF(OR(F18="None",F18=""),TRUE,IF(F18="Agreement",INDEX('Grant register'!$J:$J,MATCH($A18,'Grant register'!$A:$A,0))&lt;&gt;"",IF(F18="Due diligence",INDEX('Grant register'!$K:$K,MATCH($A18,'Grant register'!$A:$A,0))&lt;&gt;"",IF(F18="Interim report",INDEX('Grant register'!$O:$O,MATCH($A18,'Grant register'!$A:$A,0))&lt;&gt;"",IF(F18="Final report",INDEX('Grant register'!$Q:$Q,MATCH($A18,'Grant register'!$A:$A,0))&lt;&gt;"",IF(F18="Evidence",INDEX('Grant register'!$S:$S,MATCH($A18,'Grant register'!$A:$A,0))="Received",IF(F18="Condition",INDEX('Grant register'!$M:$M,MATCH($A18,'Grant register'!$A:$A,0))="Yes",IF(F18="Interim report + evidence",AND(INDEX('Grant register'!$O:$O,MATCH($A18,'Grant register'!$A:$A,0))&lt;&gt;"",INDEX('Grant register'!$S:$S,MATCH($A18,'Grant register'!$A:$A,0))="Received"),FALSE)))))))))</f>
        <v>1</v>
      </c>
      <c r="H18" s="8" t="s">
        <v>116</v>
      </c>
      <c r="I18" s="8" t="s">
        <v>29</v>
      </c>
      <c r="J18" s="8" t="str">
        <f>IF($A18="","",IF(I18&lt;&gt;"","Paid",IF(H18="Verify","Blocked: verify bank details",IF(E18="","Due date missing",IF(G18,IF(E18&lt;=TODAY()+30,"Ready for approval","Scheduled"),IF(E18&lt;=TODAY()+30,"Blocked: waiting for "&amp;LOWER(F18),"Waiting: "&amp;LOWER(F18)))))))</f>
        <v>Paid</v>
      </c>
      <c r="K18" s="12">
        <f>IF(OR($A18="",I18&lt;&gt;"",E18="",E18&gt;=TODAY()),"",TODAY()-E18)</f>
        <v/>
      </c>
    </row>
    <row r="19" spans="1:11">
      <c r="A19" s="8" t="s">
        <v>73</v>
      </c>
      <c r="B19" s="8" t="s">
        <v>74</v>
      </c>
      <c r="C19" s="12">
        <v>2</v>
      </c>
      <c r="D19" s="11">
        <v>4000</v>
      </c>
      <c r="E19" s="10">
        <v>46357</v>
      </c>
      <c r="F19" s="8" t="s">
        <v>118</v>
      </c>
      <c r="G19" s="8" t="b">
        <f>IF($A19="","",IF(OR(F19="None",F19=""),TRUE,IF(F19="Agreement",INDEX('Grant register'!$J:$J,MATCH($A19,'Grant register'!$A:$A,0))&lt;&gt;"",IF(F19="Due diligence",INDEX('Grant register'!$K:$K,MATCH($A19,'Grant register'!$A:$A,0))&lt;&gt;"",IF(F19="Interim report",INDEX('Grant register'!$O:$O,MATCH($A19,'Grant register'!$A:$A,0))&lt;&gt;"",IF(F19="Final report",INDEX('Grant register'!$Q:$Q,MATCH($A19,'Grant register'!$A:$A,0))&lt;&gt;"",IF(F19="Evidence",INDEX('Grant register'!$S:$S,MATCH($A19,'Grant register'!$A:$A,0))="Received",IF(F19="Condition",INDEX('Grant register'!$M:$M,MATCH($A19,'Grant register'!$A:$A,0))="Yes",IF(F19="Interim report + evidence",AND(INDEX('Grant register'!$O:$O,MATCH($A19,'Grant register'!$A:$A,0))&lt;&gt;"",INDEX('Grant register'!$S:$S,MATCH($A19,'Grant register'!$A:$A,0))="Received"),FALSE)))))))))</f>
        <v>0</v>
      </c>
      <c r="H19" s="8" t="s">
        <v>116</v>
      </c>
      <c r="I19" s="8"/>
      <c r="J19" s="8" t="str">
        <f>IF($A19="","",IF(I19&lt;&gt;"","Paid",IF(H19="Verify","Blocked: verify bank details",IF(E19="","Due date missing",IF(G19,IF(E19&lt;=TODAY()+30,"Ready for approval","Scheduled"),IF(E19&lt;=TODAY()+30,"Blocked: waiting for "&amp;LOWER(F19),"Waiting: "&amp;LOWER(F19)))))))</f>
        <v>Waiting: interim report</v>
      </c>
      <c r="K19" s="12">
        <f>IF(OR($A19="",I19&lt;&gt;"",E19="",E19&gt;=TODAY()),"",TODAY()-E19)</f>
        <v/>
      </c>
    </row>
    <row r="20" spans="1:11">
      <c r="A20" s="8" t="s">
        <v>76</v>
      </c>
      <c r="B20" s="8" t="s">
        <v>77</v>
      </c>
      <c r="C20" s="12">
        <v>1</v>
      </c>
      <c r="D20" s="11">
        <v>5000</v>
      </c>
      <c r="E20" s="10">
        <v>46174</v>
      </c>
      <c r="F20" s="8" t="s">
        <v>115</v>
      </c>
      <c r="G20" s="8" t="b">
        <f>IF($A20="","",IF(OR(F20="None",F20=""),TRUE,IF(F20="Agreement",INDEX('Grant register'!$J:$J,MATCH($A20,'Grant register'!$A:$A,0))&lt;&gt;"",IF(F20="Due diligence",INDEX('Grant register'!$K:$K,MATCH($A20,'Grant register'!$A:$A,0))&lt;&gt;"",IF(F20="Interim report",INDEX('Grant register'!$O:$O,MATCH($A20,'Grant register'!$A:$A,0))&lt;&gt;"",IF(F20="Final report",INDEX('Grant register'!$Q:$Q,MATCH($A20,'Grant register'!$A:$A,0))&lt;&gt;"",IF(F20="Evidence",INDEX('Grant register'!$S:$S,MATCH($A20,'Grant register'!$A:$A,0))="Received",IF(F20="Condition",INDEX('Grant register'!$M:$M,MATCH($A20,'Grant register'!$A:$A,0))="Yes",IF(F20="Interim report + evidence",AND(INDEX('Grant register'!$O:$O,MATCH($A20,'Grant register'!$A:$A,0))&lt;&gt;"",INDEX('Grant register'!$S:$S,MATCH($A20,'Grant register'!$A:$A,0))="Received"),FALSE)))))))))</f>
        <v>1</v>
      </c>
      <c r="H20" s="8" t="s">
        <v>116</v>
      </c>
      <c r="I20" s="8" t="s">
        <v>29</v>
      </c>
      <c r="J20" s="8" t="str">
        <f>IF($A20="","",IF(I20&lt;&gt;"","Paid",IF(H20="Verify","Blocked: verify bank details",IF(E20="","Due date missing",IF(G20,IF(E20&lt;=TODAY()+30,"Ready for approval","Scheduled"),IF(E20&lt;=TODAY()+30,"Blocked: waiting for "&amp;LOWER(F20),"Waiting: "&amp;LOWER(F20)))))))</f>
        <v>Paid</v>
      </c>
      <c r="K20" s="12">
        <f>IF(OR($A20="",I20&lt;&gt;"",E20="",E20&gt;=TODAY()),"",TODAY()-E20)</f>
        <v/>
      </c>
    </row>
    <row r="21" spans="1:11">
      <c r="A21" s="8" t="s">
        <v>76</v>
      </c>
      <c r="B21" s="8" t="s">
        <v>77</v>
      </c>
      <c r="C21" s="12">
        <v>2</v>
      </c>
      <c r="D21" s="11">
        <v>5000</v>
      </c>
      <c r="E21" s="10">
        <v>46296</v>
      </c>
      <c r="F21" s="8" t="s">
        <v>118</v>
      </c>
      <c r="G21" s="8" t="b">
        <f>IF($A21="","",IF(OR(F21="None",F21=""),TRUE,IF(F21="Agreement",INDEX('Grant register'!$J:$J,MATCH($A21,'Grant register'!$A:$A,0))&lt;&gt;"",IF(F21="Due diligence",INDEX('Grant register'!$K:$K,MATCH($A21,'Grant register'!$A:$A,0))&lt;&gt;"",IF(F21="Interim report",INDEX('Grant register'!$O:$O,MATCH($A21,'Grant register'!$A:$A,0))&lt;&gt;"",IF(F21="Final report",INDEX('Grant register'!$Q:$Q,MATCH($A21,'Grant register'!$A:$A,0))&lt;&gt;"",IF(F21="Evidence",INDEX('Grant register'!$S:$S,MATCH($A21,'Grant register'!$A:$A,0))="Received",IF(F21="Condition",INDEX('Grant register'!$M:$M,MATCH($A21,'Grant register'!$A:$A,0))="Yes",IF(F21="Interim report + evidence",AND(INDEX('Grant register'!$O:$O,MATCH($A21,'Grant register'!$A:$A,0))&lt;&gt;"",INDEX('Grant register'!$S:$S,MATCH($A21,'Grant register'!$A:$A,0))="Received"),FALSE)))))))))</f>
        <v>0</v>
      </c>
      <c r="H21" s="8" t="s">
        <v>116</v>
      </c>
      <c r="I21" s="8"/>
      <c r="J21" s="8" t="str">
        <f>IF($A21="","",IF(I21&lt;&gt;"","Paid",IF(H21="Verify","Blocked: verify bank details",IF(E21="","Due date missing",IF(G21,IF(E21&lt;=TODAY()+30,"Ready for approval","Scheduled"),IF(E21&lt;=TODAY()+30,"Blocked: waiting for "&amp;LOWER(F21),"Waiting: "&amp;LOWER(F21)))))))</f>
        <v>Blocked: waiting for interim report</v>
      </c>
      <c r="K21" s="12">
        <f>IF(OR($A21="",I21&lt;&gt;"",E21="",E21&gt;=TODAY()),"",TODAY()-E21)</f>
        <v/>
      </c>
    </row>
    <row r="22" spans="1:11">
      <c r="A22" s="8" t="s">
        <v>76</v>
      </c>
      <c r="B22" s="8" t="s">
        <v>77</v>
      </c>
      <c r="C22" s="12">
        <v>3</v>
      </c>
      <c r="D22" s="11">
        <v>5000</v>
      </c>
      <c r="E22" s="10">
        <v>46419</v>
      </c>
      <c r="F22" s="8" t="s">
        <v>119</v>
      </c>
      <c r="G22" s="8" t="b">
        <f>IF($A22="","",IF(OR(F22="None",F22=""),TRUE,IF(F22="Agreement",INDEX('Grant register'!$J:$J,MATCH($A22,'Grant register'!$A:$A,0))&lt;&gt;"",IF(F22="Due diligence",INDEX('Grant register'!$K:$K,MATCH($A22,'Grant register'!$A:$A,0))&lt;&gt;"",IF(F22="Interim report",INDEX('Grant register'!$O:$O,MATCH($A22,'Grant register'!$A:$A,0))&lt;&gt;"",IF(F22="Final report",INDEX('Grant register'!$Q:$Q,MATCH($A22,'Grant register'!$A:$A,0))&lt;&gt;"",IF(F22="Evidence",INDEX('Grant register'!$S:$S,MATCH($A22,'Grant register'!$A:$A,0))="Received",IF(F22="Condition",INDEX('Grant register'!$M:$M,MATCH($A22,'Grant register'!$A:$A,0))="Yes",IF(F22="Interim report + evidence",AND(INDEX('Grant register'!$O:$O,MATCH($A22,'Grant register'!$A:$A,0))&lt;&gt;"",INDEX('Grant register'!$S:$S,MATCH($A22,'Grant register'!$A:$A,0))="Received"),FALSE)))))))))</f>
        <v>0</v>
      </c>
      <c r="H22" s="8" t="s">
        <v>116</v>
      </c>
      <c r="I22" s="8"/>
      <c r="J22" s="8" t="str">
        <f>IF($A22="","",IF(I22&lt;&gt;"","Paid",IF(H22="Verify","Blocked: verify bank details",IF(E22="","Due date missing",IF(G22,IF(E22&lt;=TODAY()+30,"Ready for approval","Scheduled"),IF(E22&lt;=TODAY()+30,"Blocked: waiting for "&amp;LOWER(F22),"Waiting: "&amp;LOWER(F22)))))))</f>
        <v>Waiting: condition</v>
      </c>
      <c r="K22" s="12">
        <f>IF(OR($A22="",I22&lt;&gt;"",E22="",E22&gt;=TODAY()),"",TODAY()-E22)</f>
        <v/>
      </c>
    </row>
    <row r="23" spans="1:11">
      <c r="A23" s="8" t="s">
        <v>80</v>
      </c>
      <c r="B23" s="8" t="s">
        <v>81</v>
      </c>
      <c r="C23" s="12">
        <v>1</v>
      </c>
      <c r="D23" s="11">
        <v>9500</v>
      </c>
      <c r="E23" s="10">
        <v>46193</v>
      </c>
      <c r="F23" s="8" t="s">
        <v>115</v>
      </c>
      <c r="G23" s="8" t="b">
        <f>IF($A23="","",IF(OR(F23="None",F23=""),TRUE,IF(F23="Agreement",INDEX('Grant register'!$J:$J,MATCH($A23,'Grant register'!$A:$A,0))&lt;&gt;"",IF(F23="Due diligence",INDEX('Grant register'!$K:$K,MATCH($A23,'Grant register'!$A:$A,0))&lt;&gt;"",IF(F23="Interim report",INDEX('Grant register'!$O:$O,MATCH($A23,'Grant register'!$A:$A,0))&lt;&gt;"",IF(F23="Final report",INDEX('Grant register'!$Q:$Q,MATCH($A23,'Grant register'!$A:$A,0))&lt;&gt;"",IF(F23="Evidence",INDEX('Grant register'!$S:$S,MATCH($A23,'Grant register'!$A:$A,0))="Received",IF(F23="Condition",INDEX('Grant register'!$M:$M,MATCH($A23,'Grant register'!$A:$A,0))="Yes",IF(F23="Interim report + evidence",AND(INDEX('Grant register'!$O:$O,MATCH($A23,'Grant register'!$A:$A,0))&lt;&gt;"",INDEX('Grant register'!$S:$S,MATCH($A23,'Grant register'!$A:$A,0))="Received"),FALSE)))))))))</f>
        <v>1</v>
      </c>
      <c r="H23" s="8" t="s">
        <v>116</v>
      </c>
      <c r="I23" s="8" t="s">
        <v>29</v>
      </c>
      <c r="J23" s="8" t="str">
        <f>IF($A23="","",IF(I23&lt;&gt;"","Paid",IF(H23="Verify","Blocked: verify bank details",IF(E23="","Due date missing",IF(G23,IF(E23&lt;=TODAY()+30,"Ready for approval","Scheduled"),IF(E23&lt;=TODAY()+30,"Blocked: waiting for "&amp;LOWER(F23),"Waiting: "&amp;LOWER(F23)))))))</f>
        <v>Paid</v>
      </c>
      <c r="K23" s="12">
        <f>IF(OR($A23="",I23&lt;&gt;"",E23="",E23&gt;=TODAY()),"",TODAY()-E23)</f>
        <v/>
      </c>
    </row>
    <row r="24" spans="1:11">
      <c r="A24" s="8" t="s">
        <v>84</v>
      </c>
      <c r="B24" s="8" t="s">
        <v>85</v>
      </c>
      <c r="C24" s="12">
        <v>1</v>
      </c>
      <c r="D24" s="11">
        <v>11000</v>
      </c>
      <c r="E24" s="10">
        <v>46003</v>
      </c>
      <c r="F24" s="8" t="s">
        <v>115</v>
      </c>
      <c r="G24" s="8" t="b">
        <f>IF($A24="","",IF(OR(F24="None",F24=""),TRUE,IF(F24="Agreement",INDEX('Grant register'!$J:$J,MATCH($A24,'Grant register'!$A:$A,0))&lt;&gt;"",IF(F24="Due diligence",INDEX('Grant register'!$K:$K,MATCH($A24,'Grant register'!$A:$A,0))&lt;&gt;"",IF(F24="Interim report",INDEX('Grant register'!$O:$O,MATCH($A24,'Grant register'!$A:$A,0))&lt;&gt;"",IF(F24="Final report",INDEX('Grant register'!$Q:$Q,MATCH($A24,'Grant register'!$A:$A,0))&lt;&gt;"",IF(F24="Evidence",INDEX('Grant register'!$S:$S,MATCH($A24,'Grant register'!$A:$A,0))="Received",IF(F24="Condition",INDEX('Grant register'!$M:$M,MATCH($A24,'Grant register'!$A:$A,0))="Yes",IF(F24="Interim report + evidence",AND(INDEX('Grant register'!$O:$O,MATCH($A24,'Grant register'!$A:$A,0))&lt;&gt;"",INDEX('Grant register'!$S:$S,MATCH($A24,'Grant register'!$A:$A,0))="Received"),FALSE)))))))))</f>
        <v>1</v>
      </c>
      <c r="H24" s="8" t="s">
        <v>116</v>
      </c>
      <c r="I24" s="8" t="s">
        <v>29</v>
      </c>
      <c r="J24" s="8" t="str">
        <f>IF($A24="","",IF(I24&lt;&gt;"","Paid",IF(H24="Verify","Blocked: verify bank details",IF(E24="","Due date missing",IF(G24,IF(E24&lt;=TODAY()+30,"Ready for approval","Scheduled"),IF(E24&lt;=TODAY()+30,"Blocked: waiting for "&amp;LOWER(F24),"Waiting: "&amp;LOWER(F24)))))))</f>
        <v>Paid</v>
      </c>
      <c r="K24" s="12">
        <f>IF(OR($A24="",I24&lt;&gt;"",E24="",E24&gt;=TODAY()),"",TODAY()-E24)</f>
        <v/>
      </c>
    </row>
    <row r="25" spans="1:11">
      <c r="A25" s="8" t="s">
        <v>84</v>
      </c>
      <c r="B25" s="8" t="s">
        <v>85</v>
      </c>
      <c r="C25" s="12">
        <v>2</v>
      </c>
      <c r="D25" s="11">
        <v>11000</v>
      </c>
      <c r="E25" s="10">
        <v>46203</v>
      </c>
      <c r="F25" s="8" t="s">
        <v>122</v>
      </c>
      <c r="G25" s="8" t="b">
        <f>IF($A25="","",IF(OR(F25="None",F25=""),TRUE,IF(F25="Agreement",INDEX('Grant register'!$J:$J,MATCH($A25,'Grant register'!$A:$A,0))&lt;&gt;"",IF(F25="Due diligence",INDEX('Grant register'!$K:$K,MATCH($A25,'Grant register'!$A:$A,0))&lt;&gt;"",IF(F25="Interim report",INDEX('Grant register'!$O:$O,MATCH($A25,'Grant register'!$A:$A,0))&lt;&gt;"",IF(F25="Final report",INDEX('Grant register'!$Q:$Q,MATCH($A25,'Grant register'!$A:$A,0))&lt;&gt;"",IF(F25="Evidence",INDEX('Grant register'!$S:$S,MATCH($A25,'Grant register'!$A:$A,0))="Received",IF(F25="Condition",INDEX('Grant register'!$M:$M,MATCH($A25,'Grant register'!$A:$A,0))="Yes",IF(F25="Interim report + evidence",AND(INDEX('Grant register'!$O:$O,MATCH($A25,'Grant register'!$A:$A,0))&lt;&gt;"",INDEX('Grant register'!$S:$S,MATCH($A25,'Grant register'!$A:$A,0))="Received"),FALSE)))))))))</f>
        <v>1</v>
      </c>
      <c r="H25" s="8" t="s">
        <v>116</v>
      </c>
      <c r="I25" s="8" t="s">
        <v>29</v>
      </c>
      <c r="J25" s="8" t="str">
        <f>IF($A25="","",IF(I25&lt;&gt;"","Paid",IF(H25="Verify","Blocked: verify bank details",IF(E25="","Due date missing",IF(G25,IF(E25&lt;=TODAY()+30,"Ready for approval","Scheduled"),IF(E25&lt;=TODAY()+30,"Blocked: waiting for "&amp;LOWER(F25),"Waiting: "&amp;LOWER(F25)))))))</f>
        <v>Paid</v>
      </c>
      <c r="K25" s="12">
        <f>IF(OR($A25="",I25&lt;&gt;"",E25="",E25&gt;=TODAY()),"",TODAY()-E25)</f>
        <v/>
      </c>
    </row>
    <row r="26" spans="1:11">
      <c r="A26" s="8" t="s">
        <v>90</v>
      </c>
      <c r="B26" s="8" t="s">
        <v>91</v>
      </c>
      <c r="C26" s="12">
        <v>1</v>
      </c>
      <c r="D26" s="11">
        <v>3000</v>
      </c>
      <c r="E26" s="10">
        <v>46280</v>
      </c>
      <c r="F26" s="8" t="s">
        <v>115</v>
      </c>
      <c r="G26" s="8" t="b">
        <f>IF($A26="","",IF(OR(F26="None",F26=""),TRUE,IF(F26="Agreement",INDEX('Grant register'!$J:$J,MATCH($A26,'Grant register'!$A:$A,0))&lt;&gt;"",IF(F26="Due diligence",INDEX('Grant register'!$K:$K,MATCH($A26,'Grant register'!$A:$A,0))&lt;&gt;"",IF(F26="Interim report",INDEX('Grant register'!$O:$O,MATCH($A26,'Grant register'!$A:$A,0))&lt;&gt;"",IF(F26="Final report",INDEX('Grant register'!$Q:$Q,MATCH($A26,'Grant register'!$A:$A,0))&lt;&gt;"",IF(F26="Evidence",INDEX('Grant register'!$S:$S,MATCH($A26,'Grant register'!$A:$A,0))="Received",IF(F26="Condition",INDEX('Grant register'!$M:$M,MATCH($A26,'Grant register'!$A:$A,0))="Yes",IF(F26="Interim report + evidence",AND(INDEX('Grant register'!$O:$O,MATCH($A26,'Grant register'!$A:$A,0))&lt;&gt;"",INDEX('Grant register'!$S:$S,MATCH($A26,'Grant register'!$A:$A,0))="Received"),FALSE)))))))))</f>
        <v>1</v>
      </c>
      <c r="H26" s="8" t="s">
        <v>116</v>
      </c>
      <c r="I26" s="8" t="s">
        <v>29</v>
      </c>
      <c r="J26" s="8" t="str">
        <f>IF($A26="","",IF(I26&lt;&gt;"","Paid",IF(H26="Verify","Blocked: verify bank details",IF(E26="","Due date missing",IF(G26,IF(E26&lt;=TODAY()+30,"Ready for approval","Scheduled"),IF(E26&lt;=TODAY()+30,"Blocked: waiting for "&amp;LOWER(F26),"Waiting: "&amp;LOWER(F26)))))))</f>
        <v>Paid</v>
      </c>
      <c r="K26" s="12">
        <f>IF(OR($A26="",I26&lt;&gt;"",E26="",E26&gt;=TODAY()),"",TODAY()-E26)</f>
        <v/>
      </c>
    </row>
    <row r="27" spans="1:11">
      <c r="A27" s="8" t="s">
        <v>94</v>
      </c>
      <c r="B27" s="8" t="s">
        <v>95</v>
      </c>
      <c r="C27" s="12">
        <v>1</v>
      </c>
      <c r="D27" s="11">
        <v>10000</v>
      </c>
      <c r="E27" s="10">
        <v>45931</v>
      </c>
      <c r="F27" s="8" t="s">
        <v>115</v>
      </c>
      <c r="G27" s="8" t="b">
        <f>IF($A27="","",IF(OR(F27="None",F27=""),TRUE,IF(F27="Agreement",INDEX('Grant register'!$J:$J,MATCH($A27,'Grant register'!$A:$A,0))&lt;&gt;"",IF(F27="Due diligence",INDEX('Grant register'!$K:$K,MATCH($A27,'Grant register'!$A:$A,0))&lt;&gt;"",IF(F27="Interim report",INDEX('Grant register'!$O:$O,MATCH($A27,'Grant register'!$A:$A,0))&lt;&gt;"",IF(F27="Final report",INDEX('Grant register'!$Q:$Q,MATCH($A27,'Grant register'!$A:$A,0))&lt;&gt;"",IF(F27="Evidence",INDEX('Grant register'!$S:$S,MATCH($A27,'Grant register'!$A:$A,0))="Received",IF(F27="Condition",INDEX('Grant register'!$M:$M,MATCH($A27,'Grant register'!$A:$A,0))="Yes",IF(F27="Interim report + evidence",AND(INDEX('Grant register'!$O:$O,MATCH($A27,'Grant register'!$A:$A,0))&lt;&gt;"",INDEX('Grant register'!$S:$S,MATCH($A27,'Grant register'!$A:$A,0))="Received"),FALSE)))))))))</f>
        <v>1</v>
      </c>
      <c r="H27" s="8" t="s">
        <v>116</v>
      </c>
      <c r="I27" s="8" t="s">
        <v>29</v>
      </c>
      <c r="J27" s="8" t="str">
        <f>IF($A27="","",IF(I27&lt;&gt;"","Paid",IF(H27="Verify","Blocked: verify bank details",IF(E27="","Due date missing",IF(G27,IF(E27&lt;=TODAY()+30,"Ready for approval","Scheduled"),IF(E27&lt;=TODAY()+30,"Blocked: waiting for "&amp;LOWER(F27),"Waiting: "&amp;LOWER(F27)))))))</f>
        <v>Paid</v>
      </c>
      <c r="K27" s="12">
        <f>IF(OR($A27="",I27&lt;&gt;"",E27="",E27&gt;=TODAY()),"",TODAY()-E27)</f>
        <v/>
      </c>
    </row>
    <row r="28" spans="1:11">
      <c r="A28" s="8" t="s">
        <v>94</v>
      </c>
      <c r="B28" s="8" t="s">
        <v>95</v>
      </c>
      <c r="C28" s="12">
        <v>2</v>
      </c>
      <c r="D28" s="11">
        <v>10000</v>
      </c>
      <c r="E28" s="10">
        <v>46113</v>
      </c>
      <c r="F28" s="8" t="s">
        <v>118</v>
      </c>
      <c r="G28" s="8" t="b">
        <f>IF($A28="","",IF(OR(F28="None",F28=""),TRUE,IF(F28="Agreement",INDEX('Grant register'!$J:$J,MATCH($A28,'Grant register'!$A:$A,0))&lt;&gt;"",IF(F28="Due diligence",INDEX('Grant register'!$K:$K,MATCH($A28,'Grant register'!$A:$A,0))&lt;&gt;"",IF(F28="Interim report",INDEX('Grant register'!$O:$O,MATCH($A28,'Grant register'!$A:$A,0))&lt;&gt;"",IF(F28="Final report",INDEX('Grant register'!$Q:$Q,MATCH($A28,'Grant register'!$A:$A,0))&lt;&gt;"",IF(F28="Evidence",INDEX('Grant register'!$S:$S,MATCH($A28,'Grant register'!$A:$A,0))="Received",IF(F28="Condition",INDEX('Grant register'!$M:$M,MATCH($A28,'Grant register'!$A:$A,0))="Yes",IF(F28="Interim report + evidence",AND(INDEX('Grant register'!$O:$O,MATCH($A28,'Grant register'!$A:$A,0))&lt;&gt;"",INDEX('Grant register'!$S:$S,MATCH($A28,'Grant register'!$A:$A,0))="Received"),FALSE)))))))))</f>
        <v>1</v>
      </c>
      <c r="H28" s="8" t="s">
        <v>116</v>
      </c>
      <c r="I28" s="8" t="s">
        <v>29</v>
      </c>
      <c r="J28" s="8" t="str">
        <f>IF($A28="","",IF(I28&lt;&gt;"","Paid",IF(H28="Verify","Blocked: verify bank details",IF(E28="","Due date missing",IF(G28,IF(E28&lt;=TODAY()+30,"Ready for approval","Scheduled"),IF(E28&lt;=TODAY()+30,"Blocked: waiting for "&amp;LOWER(F28),"Waiting: "&amp;LOWER(F28)))))))</f>
        <v>Paid</v>
      </c>
      <c r="K28" s="12">
        <f>IF(OR($A28="",I28&lt;&gt;"",E28="",E28&gt;=TODAY()),"",TODAY()-E28)</f>
        <v/>
      </c>
    </row>
    <row r="29" spans="1:11">
      <c r="A29" s="8" t="s">
        <v>98</v>
      </c>
      <c r="B29" s="8" t="s">
        <v>99</v>
      </c>
      <c r="C29" s="12">
        <v>1</v>
      </c>
      <c r="D29" s="11">
        <v>6000</v>
      </c>
      <c r="E29" s="10">
        <v>45931</v>
      </c>
      <c r="F29" s="8" t="s">
        <v>115</v>
      </c>
      <c r="G29" s="8" t="b">
        <f>IF($A29="","",IF(OR(F29="None",F29=""),TRUE,IF(F29="Agreement",INDEX('Grant register'!$J:$J,MATCH($A29,'Grant register'!$A:$A,0))&lt;&gt;"",IF(F29="Due diligence",INDEX('Grant register'!$K:$K,MATCH($A29,'Grant register'!$A:$A,0))&lt;&gt;"",IF(F29="Interim report",INDEX('Grant register'!$O:$O,MATCH($A29,'Grant register'!$A:$A,0))&lt;&gt;"",IF(F29="Final report",INDEX('Grant register'!$Q:$Q,MATCH($A29,'Grant register'!$A:$A,0))&lt;&gt;"",IF(F29="Evidence",INDEX('Grant register'!$S:$S,MATCH($A29,'Grant register'!$A:$A,0))="Received",IF(F29="Condition",INDEX('Grant register'!$M:$M,MATCH($A29,'Grant register'!$A:$A,0))="Yes",IF(F29="Interim report + evidence",AND(INDEX('Grant register'!$O:$O,MATCH($A29,'Grant register'!$A:$A,0))&lt;&gt;"",INDEX('Grant register'!$S:$S,MATCH($A29,'Grant register'!$A:$A,0))="Received"),FALSE)))))))))</f>
        <v>1</v>
      </c>
      <c r="H29" s="8" t="s">
        <v>116</v>
      </c>
      <c r="I29" s="8" t="s">
        <v>29</v>
      </c>
      <c r="J29" s="8" t="str">
        <f>IF($A29="","",IF(I29&lt;&gt;"","Paid",IF(H29="Verify","Blocked: verify bank details",IF(E29="","Due date missing",IF(G29,IF(E29&lt;=TODAY()+30,"Ready for approval","Scheduled"),IF(E29&lt;=TODAY()+30,"Blocked: waiting for "&amp;LOWER(F29),"Waiting: "&amp;LOWER(F29)))))))</f>
        <v>Paid</v>
      </c>
      <c r="K29" s="12">
        <f>IF(OR($A29="",I29&lt;&gt;"",E29="",E29&gt;=TODAY()),"",TODAY()-E29)</f>
        <v/>
      </c>
    </row>
    <row r="30" spans="1:11">
      <c r="A30" s="8" t="s">
        <v>101</v>
      </c>
      <c r="B30" s="8" t="s">
        <v>102</v>
      </c>
      <c r="C30" s="12">
        <v>1</v>
      </c>
      <c r="D30" s="11">
        <v>3600</v>
      </c>
      <c r="E30" s="10">
        <v>45940</v>
      </c>
      <c r="F30" s="8" t="s">
        <v>115</v>
      </c>
      <c r="G30" s="8" t="b">
        <f>IF($A30="","",IF(OR(F30="None",F30=""),TRUE,IF(F30="Agreement",INDEX('Grant register'!$J:$J,MATCH($A30,'Grant register'!$A:$A,0))&lt;&gt;"",IF(F30="Due diligence",INDEX('Grant register'!$K:$K,MATCH($A30,'Grant register'!$A:$A,0))&lt;&gt;"",IF(F30="Interim report",INDEX('Grant register'!$O:$O,MATCH($A30,'Grant register'!$A:$A,0))&lt;&gt;"",IF(F30="Final report",INDEX('Grant register'!$Q:$Q,MATCH($A30,'Grant register'!$A:$A,0))&lt;&gt;"",IF(F30="Evidence",INDEX('Grant register'!$S:$S,MATCH($A30,'Grant register'!$A:$A,0))="Received",IF(F30="Condition",INDEX('Grant register'!$M:$M,MATCH($A30,'Grant register'!$A:$A,0))="Yes",IF(F30="Interim report + evidence",AND(INDEX('Grant register'!$O:$O,MATCH($A30,'Grant register'!$A:$A,0))&lt;&gt;"",INDEX('Grant register'!$S:$S,MATCH($A30,'Grant register'!$A:$A,0))="Received"),FALSE)))))))))</f>
        <v>1</v>
      </c>
      <c r="H30" s="8" t="s">
        <v>116</v>
      </c>
      <c r="I30" s="8" t="s">
        <v>29</v>
      </c>
      <c r="J30" s="8" t="str">
        <f>IF($A30="","",IF(I30&lt;&gt;"","Paid",IF(H30="Verify","Blocked: verify bank details",IF(E30="","Due date missing",IF(G30,IF(E30&lt;=TODAY()+30,"Ready for approval","Scheduled"),IF(E30&lt;=TODAY()+30,"Blocked: waiting for "&amp;LOWER(F30),"Waiting: "&amp;LOWER(F30)))))))</f>
        <v>Paid</v>
      </c>
      <c r="K30" s="12">
        <f>IF(OR($A30="",I30&lt;&gt;"",E30="",E30&gt;=TODAY()),"",TODAY()-E30)</f>
        <v/>
      </c>
    </row>
    <row r="31" spans="1:11">
      <c r="A31" s="8" t="s">
        <v>101</v>
      </c>
      <c r="B31" s="8" t="s">
        <v>102</v>
      </c>
      <c r="C31" s="12">
        <v>2</v>
      </c>
      <c r="D31" s="11">
        <v>3600</v>
      </c>
      <c r="E31" s="10">
        <v>46152</v>
      </c>
      <c r="F31" s="8" t="s">
        <v>118</v>
      </c>
      <c r="G31" s="8" t="b">
        <f>IF($A31="","",IF(OR(F31="None",F31=""),TRUE,IF(F31="Agreement",INDEX('Grant register'!$J:$J,MATCH($A31,'Grant register'!$A:$A,0))&lt;&gt;"",IF(F31="Due diligence",INDEX('Grant register'!$K:$K,MATCH($A31,'Grant register'!$A:$A,0))&lt;&gt;"",IF(F31="Interim report",INDEX('Grant register'!$O:$O,MATCH($A31,'Grant register'!$A:$A,0))&lt;&gt;"",IF(F31="Final report",INDEX('Grant register'!$Q:$Q,MATCH($A31,'Grant register'!$A:$A,0))&lt;&gt;"",IF(F31="Evidence",INDEX('Grant register'!$S:$S,MATCH($A31,'Grant register'!$A:$A,0))="Received",IF(F31="Condition",INDEX('Grant register'!$M:$M,MATCH($A31,'Grant register'!$A:$A,0))="Yes",IF(F31="Interim report + evidence",AND(INDEX('Grant register'!$O:$O,MATCH($A31,'Grant register'!$A:$A,0))&lt;&gt;"",INDEX('Grant register'!$S:$S,MATCH($A31,'Grant register'!$A:$A,0))="Received"),FALSE)))))))))</f>
        <v>0</v>
      </c>
      <c r="H31" s="8" t="s">
        <v>116</v>
      </c>
      <c r="I31" s="8"/>
      <c r="J31" s="8" t="str">
        <f>IF($A31="","",IF(I31&lt;&gt;"","Paid",IF(H31="Verify","Blocked: verify bank details",IF(E31="","Due date missing",IF(G31,IF(E31&lt;=TODAY()+30,"Ready for approval","Scheduled"),IF(E31&lt;=TODAY()+30,"Blocked: waiting for "&amp;LOWER(F31),"Waiting: "&amp;LOWER(F31)))))))</f>
        <v>Blocked: waiting for interim report</v>
      </c>
      <c r="K31" s="12">
        <f>IF(OR($A31="",I31&lt;&gt;"",E31="",E31&gt;=TODAY()),"",TODAY()-E31)</f>
        <v>141</v>
      </c>
    </row>
    <row r="32" spans="1:11">
      <c r="A32" s="8" t="s">
        <v>104</v>
      </c>
      <c r="B32" s="8" t="s">
        <v>57</v>
      </c>
      <c r="C32" s="12">
        <v>1</v>
      </c>
      <c r="D32" s="11">
        <v>3500</v>
      </c>
      <c r="E32" s="10">
        <v>46310</v>
      </c>
      <c r="F32" s="8" t="s">
        <v>120</v>
      </c>
      <c r="G32" s="8" t="b">
        <f>IF($A32="","",IF(OR(F32="None",F32=""),TRUE,IF(F32="Agreement",INDEX('Grant register'!$J:$J,MATCH($A32,'Grant register'!$A:$A,0))&lt;&gt;"",IF(F32="Due diligence",INDEX('Grant register'!$K:$K,MATCH($A32,'Grant register'!$A:$A,0))&lt;&gt;"",IF(F32="Interim report",INDEX('Grant register'!$O:$O,MATCH($A32,'Grant register'!$A:$A,0))&lt;&gt;"",IF(F32="Final report",INDEX('Grant register'!$Q:$Q,MATCH($A32,'Grant register'!$A:$A,0))&lt;&gt;"",IF(F32="Evidence",INDEX('Grant register'!$S:$S,MATCH($A32,'Grant register'!$A:$A,0))="Received",IF(F32="Condition",INDEX('Grant register'!$M:$M,MATCH($A32,'Grant register'!$A:$A,0))="Yes",IF(F32="Interim report + evidence",AND(INDEX('Grant register'!$O:$O,MATCH($A32,'Grant register'!$A:$A,0))&lt;&gt;"",INDEX('Grant register'!$S:$S,MATCH($A32,'Grant register'!$A:$A,0))="Received"),FALSE)))))))))</f>
        <v>1</v>
      </c>
      <c r="H32" s="8" t="s">
        <v>121</v>
      </c>
      <c r="I32" s="8"/>
      <c r="J32" s="8" t="str">
        <f>IF($A32="","",IF(I32&lt;&gt;"","Paid",IF(H32="Verify","Blocked: verify bank details",IF(E32="","Due date missing",IF(G32,IF(E32&lt;=TODAY()+30,"Ready for approval","Scheduled"),IF(E32&lt;=TODAY()+30,"Blocked: waiting for "&amp;LOWER(F32),"Waiting: "&amp;LOWER(F32)))))))</f>
        <v>Blocked: verify bank details</v>
      </c>
      <c r="K32" s="12">
        <f>IF(OR($A32="",I32&lt;&gt;"",E32="",E32&gt;=TODAY()),"",TODAY()-E32)</f>
        <v/>
      </c>
    </row>
  </sheetData>
  <autoFilter ref="A1:K32"/>
  <conditionalFormatting sqref="H2:H501">
    <cfRule type="cellIs" dxfId="0" priority="4" operator="equal">
      <formula>"Verify"</formula>
    </cfRule>
  </conditionalFormatting>
  <conditionalFormatting sqref="J2:J501">
    <cfRule type="beginsWith" dxfId="0" priority="1" operator="beginsWith" text="Blocked">
      <formula>LEFT(J2,7)="Blocked"</formula>
    </cfRule>
    <cfRule type="beginsWith" dxfId="1" priority="2" operator="beginsWith" text="Ready">
      <formula>LEFT(J2,5)="Ready"</formula>
    </cfRule>
    <cfRule type="beginsWith" dxfId="3" priority="3" operator="beginsWith" text="Paid">
      <formula>LEFT(J2,4)="Paid"</formula>
    </cfRule>
  </conditionalFormatting>
  <dataValidations count="2">
    <dataValidation type="list" allowBlank="1" showInputMessage="1" showErrorMessage="1" sqref="F2:F501">
      <formula1>"None,Agreement,Due diligence,Interim report,Final report,Evidence,Condition,Interim report + evidence"</formula1>
    </dataValidation>
    <dataValidation type="list" allowBlank="1" showInputMessage="1" showErrorMessage="1" sqref="H2:H501">
      <formula1>"OK,Verify"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20"/>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2.7109375" customWidth="1"/>
    <col min="2" max="2" width="28.7109375" customWidth="1"/>
    <col min="3" max="3" width="12.7109375" customWidth="1"/>
    <col min="4" max="4" width="16.7109375" customWidth="1"/>
    <col min="5" max="6" width="11.7109375" customWidth="1"/>
    <col min="7" max="11" width="12.7109375" customWidth="1"/>
    <col min="12" max="12" width="30.7109375" customWidth="1"/>
    <col min="13" max="13" width="10.7109375" customWidth="1"/>
    <col min="14" max="17" width="12.7109375" customWidth="1"/>
    <col min="18" max="18" width="26.7109375" customWidth="1"/>
    <col min="19" max="19" width="12.7109375" customWidth="1"/>
    <col min="20" max="21" width="18.7109375" customWidth="1"/>
    <col min="22" max="22" width="30.7109375" customWidth="1"/>
    <col min="23" max="23" width="10.7109375" customWidth="1"/>
    <col min="24" max="24" width="40.7109375" customWidth="1"/>
  </cols>
  <sheetData>
    <row r="1" spans="1:24">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row>
    <row r="2" spans="1:24">
      <c r="A2" s="8" t="s">
        <v>24</v>
      </c>
      <c r="B2" s="8" t="s">
        <v>25</v>
      </c>
      <c r="C2" s="8" t="s">
        <v>26</v>
      </c>
      <c r="D2" s="8" t="s">
        <v>27</v>
      </c>
      <c r="E2" s="8" t="s">
        <v>28</v>
      </c>
      <c r="F2" s="11">
        <v>25000</v>
      </c>
      <c r="G2" s="11">
        <f>SUMIFS(Payments!$D:$D,Payments!$A:$A,$A2,Payments!$I:$I,"&lt;&gt;")</f>
        <v>15000.0</v>
      </c>
      <c r="H2" s="10">
        <v>46204</v>
      </c>
      <c r="I2" s="10">
        <v>46568</v>
      </c>
      <c r="J2" s="8" t="s">
        <v>29</v>
      </c>
      <c r="K2" s="10">
        <v>46205</v>
      </c>
      <c r="L2" s="8" t="s">
        <v>30</v>
      </c>
      <c r="M2" s="8" t="s">
        <v>31</v>
      </c>
      <c r="N2" s="10">
        <v>46309</v>
      </c>
      <c r="O2" s="8"/>
      <c r="P2" s="10">
        <v>46599</v>
      </c>
      <c r="Q2" s="8"/>
      <c r="R2" s="8" t="s">
        <v>32</v>
      </c>
      <c r="S2" s="8" t="s">
        <v>33</v>
      </c>
      <c r="T2" s="8" t="str">
        <f>IF($A2="","",IF(AND(N2&lt;&gt;"",O2="",N2&lt;TODAY()),"Interim overdue "&amp;(TODAY()-N2)&amp;"d",IF(AND(P2&lt;&gt;"",Q2="",P2&lt;TODAY()),"Final overdue "&amp;(TODAY()-P2)&amp;"d",IF(AND(N2&lt;&gt;"",O2="",N2-TODAY()&lt;=30),"Interim due in "&amp;(N2-TODAY())&amp;"d",IF(AND(P2&lt;&gt;"",Q2="",P2-TODAY()&lt;=30),"Final due in "&amp;(P2-TODAY())&amp;"d","OK")))))</f>
        <v>Interim due in 16d</v>
      </c>
      <c r="U2" s="8" t="str">
        <f>IF($A2="","",IF(COUNTIFS(Payments!$A:$A,$A2,Payments!$J:$J,"Blocked*")&gt;0,"Payment blocked",IF(COUNTIFS(Payments!$A:$A,$A2,Payments!$J:$J,"Ready*")&gt;0,"Payment ready","")))</f>
        <v>Payment blocked</v>
      </c>
      <c r="V2" s="8" t="str">
        <f>IF($A2="","",IF(K2="","No DD date; ",IF(ISNUMBER(K2),IF(TODAY()-K2&gt;365,"DD over 12 months; ",""),"DD date unknown; "))&amp;IF(J2="","No agreement; ","")&amp;IF(M2="No","Condition open; ","")&amp;IF(OR(S2="Missing",S2="Partial"),"Evidence "&amp;LOWER(S2)&amp;"; ",""))</f>
        <v>Evidence missing; </v>
      </c>
      <c r="W2" s="8" t="str">
        <f>IF($A2="","",IF(OR(T2&lt;&gt;"OK",U2&lt;&gt;"",V2&lt;&gt;""),"Yes","No"))</f>
        <v>Yes</v>
      </c>
      <c r="X2" s="8" t="s">
        <v>34</v>
      </c>
    </row>
    <row r="3" spans="1:24">
      <c r="A3" s="8" t="s">
        <v>35</v>
      </c>
      <c r="B3" s="8" t="s">
        <v>36</v>
      </c>
      <c r="C3" s="8"/>
      <c r="D3" s="8" t="s">
        <v>27</v>
      </c>
      <c r="E3" s="8" t="s">
        <v>28</v>
      </c>
      <c r="F3" s="11">
        <v>5000</v>
      </c>
      <c r="G3" s="11">
        <f>SUMIFS(Payments!$D:$D,Payments!$A:$A,$A3,Payments!$I:$I,"&lt;&gt;")</f>
        <v>5000.0</v>
      </c>
      <c r="H3" s="10">
        <v>45964</v>
      </c>
      <c r="I3" s="10">
        <v>46265</v>
      </c>
      <c r="J3" s="8" t="s">
        <v>29</v>
      </c>
      <c r="K3" s="8" t="s">
        <v>29</v>
      </c>
      <c r="L3" s="8"/>
      <c r="M3" s="8"/>
      <c r="N3" s="8"/>
      <c r="O3" s="8"/>
      <c r="P3" s="10">
        <v>46295</v>
      </c>
      <c r="Q3" s="8"/>
      <c r="R3" s="8"/>
      <c r="S3" s="8"/>
      <c r="T3" s="8" t="str">
        <f>IF($A3="","",IF(AND(N3&lt;&gt;"",O3="",N3&lt;TODAY()),"Interim overdue "&amp;(TODAY()-N3)&amp;"d",IF(AND(P3&lt;&gt;"",Q3="",P3&lt;TODAY()),"Final overdue "&amp;(TODAY()-P3)&amp;"d",IF(AND(N3&lt;&gt;"",O3="",N3-TODAY()&lt;=30),"Interim due in "&amp;(N3-TODAY())&amp;"d",IF(AND(P3&lt;&gt;"",Q3="",P3-TODAY()&lt;=30),"Final due in "&amp;(P3-TODAY())&amp;"d","OK")))))</f>
        <v>Final due in 2d</v>
      </c>
      <c r="U3" s="8">
        <f>IF($A3="","",IF(COUNTIFS(Payments!$A:$A,$A3,Payments!$J:$J,"Blocked*")&gt;0,"Payment blocked",IF(COUNTIFS(Payments!$A:$A,$A3,Payments!$J:$J,"Ready*")&gt;0,"Payment ready","")))</f>
        <v/>
      </c>
      <c r="V3" s="8" t="str">
        <f>IF($A3="","",IF(K3="","No DD date; ",IF(ISNUMBER(K3),IF(TODAY()-K3&gt;365,"DD over 12 months; ",""),"DD date unknown; "))&amp;IF(J3="","No agreement; ","")&amp;IF(M3="No","Condition open; ","")&amp;IF(OR(S3="Missing",S3="Partial"),"Evidence "&amp;LOWER(S3)&amp;"; ",""))</f>
        <v>DD date unknown; </v>
      </c>
      <c r="W3" s="8" t="str">
        <f>IF($A3="","",IF(OR(T3&lt;&gt;"OK",U3&lt;&gt;"",V3&lt;&gt;""),"Yes","No"))</f>
        <v>Yes</v>
      </c>
      <c r="X3" s="8"/>
    </row>
    <row r="4" spans="1:24">
      <c r="A4" s="8" t="s">
        <v>37</v>
      </c>
      <c r="B4" s="8" t="s">
        <v>38</v>
      </c>
      <c r="C4" s="8" t="s">
        <v>39</v>
      </c>
      <c r="D4" s="8" t="s">
        <v>40</v>
      </c>
      <c r="E4" s="8" t="s">
        <v>41</v>
      </c>
      <c r="F4" s="11">
        <v>12500</v>
      </c>
      <c r="G4" s="11">
        <f>SUMIFS(Payments!$D:$D,Payments!$A:$A,$A4,Payments!$I:$I,"&lt;&gt;")</f>
        <v>6250.0</v>
      </c>
      <c r="H4" s="10">
        <v>46037</v>
      </c>
      <c r="I4" s="10">
        <v>46387</v>
      </c>
      <c r="J4" s="8" t="s">
        <v>29</v>
      </c>
      <c r="K4" s="10">
        <v>45667</v>
      </c>
      <c r="L4" s="8" t="s">
        <v>42</v>
      </c>
      <c r="M4" s="8" t="s">
        <v>43</v>
      </c>
      <c r="N4" s="10">
        <v>46234</v>
      </c>
      <c r="O4" s="8"/>
      <c r="P4" s="10">
        <v>46387</v>
      </c>
      <c r="Q4" s="8"/>
      <c r="R4" s="8"/>
      <c r="S4" s="8"/>
      <c r="T4" s="8" t="str">
        <f>IF($A4="","",IF(AND(N4&lt;&gt;"",O4="",N4&lt;TODAY()),"Interim overdue "&amp;(TODAY()-N4)&amp;"d",IF(AND(P4&lt;&gt;"",Q4="",P4&lt;TODAY()),"Final overdue "&amp;(TODAY()-P4)&amp;"d",IF(AND(N4&lt;&gt;"",O4="",N4-TODAY()&lt;=30),"Interim due in "&amp;(N4-TODAY())&amp;"d",IF(AND(P4&lt;&gt;"",Q4="",P4-TODAY()&lt;=30),"Final due in "&amp;(P4-TODAY())&amp;"d","OK")))))</f>
        <v>Interim overdue 59d</v>
      </c>
      <c r="U4" s="8" t="str">
        <f>IF($A4="","",IF(COUNTIFS(Payments!$A:$A,$A4,Payments!$J:$J,"Blocked*")&gt;0,"Payment blocked",IF(COUNTIFS(Payments!$A:$A,$A4,Payments!$J:$J,"Ready*")&gt;0,"Payment ready","")))</f>
        <v>Payment blocked</v>
      </c>
      <c r="V4" s="8" t="str">
        <f>IF($A4="","",IF(K4="","No DD date; ",IF(ISNUMBER(K4),IF(TODAY()-K4&gt;365,"DD over 12 months; ",""),"DD date unknown; "))&amp;IF(J4="","No agreement; ","")&amp;IF(M4="No","Condition open; ","")&amp;IF(OR(S4="Missing",S4="Partial"),"Evidence "&amp;LOWER(S4)&amp;"; ",""))</f>
        <v>DD over 12 months; Condition open; </v>
      </c>
      <c r="W4" s="8" t="str">
        <f>IF($A4="","",IF(OR(T4&lt;&gt;"OK",U4&lt;&gt;"",V4&lt;&gt;""),"Yes","No"))</f>
        <v>Yes</v>
      </c>
      <c r="X4" s="8" t="s">
        <v>44</v>
      </c>
    </row>
    <row r="5" spans="1:24">
      <c r="A5" s="8" t="s">
        <v>45</v>
      </c>
      <c r="B5" s="8" t="s">
        <v>46</v>
      </c>
      <c r="C5" s="8"/>
      <c r="D5" s="8" t="s">
        <v>40</v>
      </c>
      <c r="E5" s="8" t="s">
        <v>41</v>
      </c>
      <c r="F5" s="11">
        <v>3000</v>
      </c>
      <c r="G5" s="11">
        <f>SUMIFS(Payments!$D:$D,Payments!$A:$A,$A5,Payments!$I:$I,"&lt;&gt;")</f>
        <v>3000.0</v>
      </c>
      <c r="H5" s="10">
        <v>46086</v>
      </c>
      <c r="I5" s="10">
        <v>46446</v>
      </c>
      <c r="J5" s="8"/>
      <c r="K5" s="8"/>
      <c r="L5" s="8"/>
      <c r="M5" s="8"/>
      <c r="N5" s="8"/>
      <c r="O5" s="8"/>
      <c r="P5" s="10">
        <v>46477</v>
      </c>
      <c r="Q5" s="8"/>
      <c r="R5" s="8"/>
      <c r="S5" s="8"/>
      <c r="T5" s="8" t="str">
        <f>IF($A5="","",IF(AND(N5&lt;&gt;"",O5="",N5&lt;TODAY()),"Interim overdue "&amp;(TODAY()-N5)&amp;"d",IF(AND(P5&lt;&gt;"",Q5="",P5&lt;TODAY()),"Final overdue "&amp;(TODAY()-P5)&amp;"d",IF(AND(N5&lt;&gt;"",O5="",N5-TODAY()&lt;=30),"Interim due in "&amp;(N5-TODAY())&amp;"d",IF(AND(P5&lt;&gt;"",Q5="",P5-TODAY()&lt;=30),"Final due in "&amp;(P5-TODAY())&amp;"d","OK")))))</f>
        <v>OK</v>
      </c>
      <c r="U5" s="8">
        <f>IF($A5="","",IF(COUNTIFS(Payments!$A:$A,$A5,Payments!$J:$J,"Blocked*")&gt;0,"Payment blocked",IF(COUNTIFS(Payments!$A:$A,$A5,Payments!$J:$J,"Ready*")&gt;0,"Payment ready","")))</f>
        <v/>
      </c>
      <c r="V5" s="8" t="str">
        <f>IF($A5="","",IF(K5="","No DD date; ",IF(ISNUMBER(K5),IF(TODAY()-K5&gt;365,"DD over 12 months; ",""),"DD date unknown; "))&amp;IF(J5="","No agreement; ","")&amp;IF(M5="No","Condition open; ","")&amp;IF(OR(S5="Missing",S5="Partial"),"Evidence "&amp;LOWER(S5)&amp;"; ",""))</f>
        <v>No DD date; No agreement; </v>
      </c>
      <c r="W5" s="8" t="str">
        <f>IF($A5="","",IF(OR(T5&lt;&gt;"OK",U5&lt;&gt;"",V5&lt;&gt;""),"Yes","No"))</f>
        <v>Yes</v>
      </c>
      <c r="X5" s="8" t="s">
        <v>47</v>
      </c>
    </row>
    <row r="6" spans="1:24">
      <c r="A6" s="8" t="s">
        <v>48</v>
      </c>
      <c r="B6" s="8" t="s">
        <v>49</v>
      </c>
      <c r="C6" s="8" t="s">
        <v>50</v>
      </c>
      <c r="D6" s="8" t="s">
        <v>51</v>
      </c>
      <c r="E6" s="8" t="s">
        <v>52</v>
      </c>
      <c r="F6" s="11">
        <v>40000</v>
      </c>
      <c r="G6" s="11">
        <f>SUMIFS(Payments!$D:$D,Payments!$A:$A,$A6,Payments!$I:$I,"&lt;&gt;")</f>
        <v>20000.0</v>
      </c>
      <c r="H6" s="10">
        <v>46023</v>
      </c>
      <c r="I6" s="10">
        <v>46477</v>
      </c>
      <c r="J6" s="10">
        <v>46034</v>
      </c>
      <c r="K6" s="10">
        <v>46003</v>
      </c>
      <c r="L6" s="8" t="s">
        <v>53</v>
      </c>
      <c r="M6" s="8" t="s">
        <v>43</v>
      </c>
      <c r="N6" s="10">
        <v>46203</v>
      </c>
      <c r="O6" s="10">
        <v>46205</v>
      </c>
      <c r="P6" s="10">
        <v>46477</v>
      </c>
      <c r="Q6" s="8"/>
      <c r="R6" s="8" t="s">
        <v>54</v>
      </c>
      <c r="S6" s="8" t="s">
        <v>55</v>
      </c>
      <c r="T6" s="8" t="str">
        <f>IF($A6="","",IF(AND(N6&lt;&gt;"",O6="",N6&lt;TODAY()),"Interim overdue "&amp;(TODAY()-N6)&amp;"d",IF(AND(P6&lt;&gt;"",Q6="",P6&lt;TODAY()),"Final overdue "&amp;(TODAY()-P6)&amp;"d",IF(AND(N6&lt;&gt;"",O6="",N6-TODAY()&lt;=30),"Interim due in "&amp;(N6-TODAY())&amp;"d",IF(AND(P6&lt;&gt;"",Q6="",P6-TODAY()&lt;=30),"Final due in "&amp;(P6-TODAY())&amp;"d","OK")))))</f>
        <v>OK</v>
      </c>
      <c r="U6" s="8" t="str">
        <f>IF($A6="","",IF(COUNTIFS(Payments!$A:$A,$A6,Payments!$J:$J,"Blocked*")&gt;0,"Payment blocked",IF(COUNTIFS(Payments!$A:$A,$A6,Payments!$J:$J,"Ready*")&gt;0,"Payment ready","")))</f>
        <v>Payment blocked</v>
      </c>
      <c r="V6" s="8" t="str">
        <f>IF($A6="","",IF(K6="","No DD date; ",IF(ISNUMBER(K6),IF(TODAY()-K6&gt;365,"DD over 12 months; ",""),"DD date unknown; "))&amp;IF(J6="","No agreement; ","")&amp;IF(M6="No","Condition open; ","")&amp;IF(OR(S6="Missing",S6="Partial"),"Evidence "&amp;LOWER(S6)&amp;"; ",""))</f>
        <v>Condition open; Evidence partial; </v>
      </c>
      <c r="W6" s="8" t="str">
        <f>IF($A6="","",IF(OR(T6&lt;&gt;"OK",U6&lt;&gt;"",V6&lt;&gt;""),"Yes","No"))</f>
        <v>Yes</v>
      </c>
      <c r="X6" s="8"/>
    </row>
    <row r="7" spans="1:24">
      <c r="A7" s="8" t="s">
        <v>56</v>
      </c>
      <c r="B7" s="8" t="s">
        <v>57</v>
      </c>
      <c r="C7" s="8" t="s">
        <v>58</v>
      </c>
      <c r="D7" s="8" t="s">
        <v>51</v>
      </c>
      <c r="E7" s="8" t="s">
        <v>52</v>
      </c>
      <c r="F7" s="11">
        <v>18000</v>
      </c>
      <c r="G7" s="11">
        <f>SUMIFS(Payments!$D:$D,Payments!$A:$A,$A7,Payments!$I:$I,"&lt;&gt;")</f>
        <v>9000.0</v>
      </c>
      <c r="H7" s="10">
        <v>46073</v>
      </c>
      <c r="I7" s="10">
        <v>46387</v>
      </c>
      <c r="J7" s="8" t="s">
        <v>29</v>
      </c>
      <c r="K7" s="10">
        <v>46071</v>
      </c>
      <c r="L7" s="8"/>
      <c r="M7" s="8"/>
      <c r="N7" s="8"/>
      <c r="O7" s="8"/>
      <c r="P7" s="10">
        <v>46326</v>
      </c>
      <c r="Q7" s="8"/>
      <c r="R7" s="8" t="s">
        <v>59</v>
      </c>
      <c r="S7" s="8" t="s">
        <v>33</v>
      </c>
      <c r="T7" s="8" t="str">
        <f>IF($A7="","",IF(AND(N7&lt;&gt;"",O7="",N7&lt;TODAY()),"Interim overdue "&amp;(TODAY()-N7)&amp;"d",IF(AND(P7&lt;&gt;"",Q7="",P7&lt;TODAY()),"Final overdue "&amp;(TODAY()-P7)&amp;"d",IF(AND(N7&lt;&gt;"",O7="",N7-TODAY()&lt;=30),"Interim due in "&amp;(N7-TODAY())&amp;"d",IF(AND(P7&lt;&gt;"",Q7="",P7-TODAY()&lt;=30),"Final due in "&amp;(P7-TODAY())&amp;"d","OK")))))</f>
        <v>OK</v>
      </c>
      <c r="U7" s="8" t="str">
        <f>IF($A7="","",IF(COUNTIFS(Payments!$A:$A,$A7,Payments!$J:$J,"Blocked*")&gt;0,"Payment blocked",IF(COUNTIFS(Payments!$A:$A,$A7,Payments!$J:$J,"Ready*")&gt;0,"Payment ready","")))</f>
        <v>Payment blocked</v>
      </c>
      <c r="V7" s="8" t="str">
        <f>IF($A7="","",IF(K7="","No DD date; ",IF(ISNUMBER(K7),IF(TODAY()-K7&gt;365,"DD over 12 months; ",""),"DD date unknown; "))&amp;IF(J7="","No agreement; ","")&amp;IF(M7="No","Condition open; ","")&amp;IF(OR(S7="Missing",S7="Partial"),"Evidence "&amp;LOWER(S7)&amp;"; ",""))</f>
        <v>Evidence missing; </v>
      </c>
      <c r="W7" s="8" t="str">
        <f>IF($A7="","",IF(OR(T7&lt;&gt;"OK",U7&lt;&gt;"",V7&lt;&gt;""),"Yes","No"))</f>
        <v>Yes</v>
      </c>
      <c r="X7" s="8" t="s">
        <v>60</v>
      </c>
    </row>
    <row r="8" spans="1:24">
      <c r="A8" s="8" t="s">
        <v>61</v>
      </c>
      <c r="B8" s="8" t="s">
        <v>62</v>
      </c>
      <c r="C8" s="8" t="s">
        <v>63</v>
      </c>
      <c r="D8" s="8" t="s">
        <v>64</v>
      </c>
      <c r="E8" s="8" t="s">
        <v>28</v>
      </c>
      <c r="F8" s="11">
        <v>2500</v>
      </c>
      <c r="G8" s="11">
        <f>SUMIFS(Payments!$D:$D,Payments!$A:$A,$A8,Payments!$I:$I,"&lt;&gt;")</f>
        <v>2500.0</v>
      </c>
      <c r="H8" s="10">
        <v>46266</v>
      </c>
      <c r="I8" s="10">
        <v>46387</v>
      </c>
      <c r="J8" s="8" t="s">
        <v>29</v>
      </c>
      <c r="K8" s="10">
        <v>46254</v>
      </c>
      <c r="L8" s="8"/>
      <c r="M8" s="8"/>
      <c r="N8" s="8"/>
      <c r="O8" s="8"/>
      <c r="P8" s="10">
        <v>46418</v>
      </c>
      <c r="Q8" s="8"/>
      <c r="R8" s="8"/>
      <c r="S8" s="8"/>
      <c r="T8" s="8" t="str">
        <f>IF($A8="","",IF(AND(N8&lt;&gt;"",O8="",N8&lt;TODAY()),"Interim overdue "&amp;(TODAY()-N8)&amp;"d",IF(AND(P8&lt;&gt;"",Q8="",P8&lt;TODAY()),"Final overdue "&amp;(TODAY()-P8)&amp;"d",IF(AND(N8&lt;&gt;"",O8="",N8-TODAY()&lt;=30),"Interim due in "&amp;(N8-TODAY())&amp;"d",IF(AND(P8&lt;&gt;"",Q8="",P8-TODAY()&lt;=30),"Final due in "&amp;(P8-TODAY())&amp;"d","OK")))))</f>
        <v>OK</v>
      </c>
      <c r="U8" s="8">
        <f>IF($A8="","",IF(COUNTIFS(Payments!$A:$A,$A8,Payments!$J:$J,"Blocked*")&gt;0,"Payment blocked",IF(COUNTIFS(Payments!$A:$A,$A8,Payments!$J:$J,"Ready*")&gt;0,"Payment ready","")))</f>
        <v/>
      </c>
      <c r="V8" s="8">
        <f>IF($A8="","",IF(K8="","No DD date; ",IF(ISNUMBER(K8),IF(TODAY()-K8&gt;365,"DD over 12 months; ",""),"DD date unknown; "))&amp;IF(J8="","No agreement; ","")&amp;IF(M8="No","Condition open; ","")&amp;IF(OR(S8="Missing",S8="Partial"),"Evidence "&amp;LOWER(S8)&amp;"; ",""))</f>
        <v/>
      </c>
      <c r="W8" s="8" t="str">
        <f>IF($A8="","",IF(OR(T8&lt;&gt;"OK",U8&lt;&gt;"",V8&lt;&gt;""),"Yes","No"))</f>
        <v>No</v>
      </c>
      <c r="X8" s="8"/>
    </row>
    <row r="9" spans="1:24">
      <c r="A9" s="8" t="s">
        <v>65</v>
      </c>
      <c r="B9" s="8" t="s">
        <v>62</v>
      </c>
      <c r="C9" s="8" t="s">
        <v>63</v>
      </c>
      <c r="D9" s="8" t="s">
        <v>64</v>
      </c>
      <c r="E9" s="8" t="s">
        <v>28</v>
      </c>
      <c r="F9" s="11">
        <v>1500</v>
      </c>
      <c r="G9" s="11">
        <f>SUMIFS(Payments!$D:$D,Payments!$A:$A,$A9,Payments!$I:$I,"&lt;&gt;")</f>
        <v>0</v>
      </c>
      <c r="H9" s="10">
        <v>46277</v>
      </c>
      <c r="I9" s="10">
        <v>46387</v>
      </c>
      <c r="J9" s="8"/>
      <c r="K9" s="10">
        <v>46254</v>
      </c>
      <c r="L9" s="8"/>
      <c r="M9" s="8"/>
      <c r="N9" s="8"/>
      <c r="O9" s="8"/>
      <c r="P9" s="10">
        <v>46418</v>
      </c>
      <c r="Q9" s="8"/>
      <c r="R9" s="8"/>
      <c r="S9" s="8"/>
      <c r="T9" s="8" t="str">
        <f>IF($A9="","",IF(AND(N9&lt;&gt;"",O9="",N9&lt;TODAY()),"Interim overdue "&amp;(TODAY()-N9)&amp;"d",IF(AND(P9&lt;&gt;"",Q9="",P9&lt;TODAY()),"Final overdue "&amp;(TODAY()-P9)&amp;"d",IF(AND(N9&lt;&gt;"",O9="",N9-TODAY()&lt;=30),"Interim due in "&amp;(N9-TODAY())&amp;"d",IF(AND(P9&lt;&gt;"",Q9="",P9-TODAY()&lt;=30),"Final due in "&amp;(P9-TODAY())&amp;"d","OK")))))</f>
        <v>OK</v>
      </c>
      <c r="U9" s="8" t="str">
        <f>IF($A9="","",IF(COUNTIFS(Payments!$A:$A,$A9,Payments!$J:$J,"Blocked*")&gt;0,"Payment blocked",IF(COUNTIFS(Payments!$A:$A,$A9,Payments!$J:$J,"Ready*")&gt;0,"Payment ready","")))</f>
        <v>Payment blocked</v>
      </c>
      <c r="V9" s="8" t="str">
        <f>IF($A9="","",IF(K9="","No DD date; ",IF(ISNUMBER(K9),IF(TODAY()-K9&gt;365,"DD over 12 months; ",""),"DD date unknown; "))&amp;IF(J9="","No agreement; ","")&amp;IF(M9="No","Condition open; ","")&amp;IF(OR(S9="Missing",S9="Partial"),"Evidence "&amp;LOWER(S9)&amp;"; ",""))</f>
        <v>No agreement; </v>
      </c>
      <c r="W9" s="8" t="str">
        <f>IF($A9="","",IF(OR(T9&lt;&gt;"OK",U9&lt;&gt;"",V9&lt;&gt;""),"Yes","No"))</f>
        <v>Yes</v>
      </c>
      <c r="X9" s="8"/>
    </row>
    <row r="10" spans="1:24">
      <c r="A10" s="8" t="s">
        <v>66</v>
      </c>
      <c r="B10" s="8" t="s">
        <v>67</v>
      </c>
      <c r="C10" s="8" t="s">
        <v>68</v>
      </c>
      <c r="D10" s="8" t="s">
        <v>27</v>
      </c>
      <c r="E10" s="8" t="s">
        <v>28</v>
      </c>
      <c r="F10" s="11">
        <v>30000</v>
      </c>
      <c r="G10" s="11">
        <f>SUMIFS(Payments!$D:$D,Payments!$A:$A,$A10,Payments!$I:$I,"&lt;&gt;")</f>
        <v>15000.0</v>
      </c>
      <c r="H10" s="10">
        <v>46063</v>
      </c>
      <c r="I10" s="10">
        <v>46427</v>
      </c>
      <c r="J10" s="8" t="s">
        <v>29</v>
      </c>
      <c r="K10" s="10">
        <v>46054</v>
      </c>
      <c r="L10" s="8"/>
      <c r="M10" s="8"/>
      <c r="N10" s="10">
        <v>46244</v>
      </c>
      <c r="O10" s="10">
        <v>46239</v>
      </c>
      <c r="P10" s="10">
        <v>46455</v>
      </c>
      <c r="Q10" s="8"/>
      <c r="R10" s="8"/>
      <c r="S10" s="8"/>
      <c r="T10" s="8" t="str">
        <f>IF($A10="","",IF(AND(N10&lt;&gt;"",O10="",N10&lt;TODAY()),"Interim overdue "&amp;(TODAY()-N10)&amp;"d",IF(AND(P10&lt;&gt;"",Q10="",P10&lt;TODAY()),"Final overdue "&amp;(TODAY()-P10)&amp;"d",IF(AND(N10&lt;&gt;"",O10="",N10-TODAY()&lt;=30),"Interim due in "&amp;(N10-TODAY())&amp;"d",IF(AND(P10&lt;&gt;"",Q10="",P10-TODAY()&lt;=30),"Final due in "&amp;(P10-TODAY())&amp;"d","OK")))))</f>
        <v>OK</v>
      </c>
      <c r="U10" s="8" t="str">
        <f>IF($A10="","",IF(COUNTIFS(Payments!$A:$A,$A10,Payments!$J:$J,"Blocked*")&gt;0,"Payment blocked",IF(COUNTIFS(Payments!$A:$A,$A10,Payments!$J:$J,"Ready*")&gt;0,"Payment ready","")))</f>
        <v>Payment ready</v>
      </c>
      <c r="V10" s="8">
        <f>IF($A10="","",IF(K10="","No DD date; ",IF(ISNUMBER(K10),IF(TODAY()-K10&gt;365,"DD over 12 months; ",""),"DD date unknown; "))&amp;IF(J10="","No agreement; ","")&amp;IF(M10="No","Condition open; ","")&amp;IF(OR(S10="Missing",S10="Partial"),"Evidence "&amp;LOWER(S10)&amp;"; ",""))</f>
        <v/>
      </c>
      <c r="W10" s="8" t="str">
        <f>IF($A10="","",IF(OR(T10&lt;&gt;"OK",U10&lt;&gt;"",V10&lt;&gt;""),"Yes","No"))</f>
        <v>Yes</v>
      </c>
      <c r="X10" s="8" t="s">
        <v>69</v>
      </c>
    </row>
    <row r="11" spans="1:24">
      <c r="A11" s="8" t="s">
        <v>70</v>
      </c>
      <c r="B11" s="8" t="s">
        <v>71</v>
      </c>
      <c r="C11" s="8"/>
      <c r="D11" s="8" t="s">
        <v>27</v>
      </c>
      <c r="E11" s="8"/>
      <c r="F11" s="11">
        <v>4000</v>
      </c>
      <c r="G11" s="11">
        <f>SUMIFS(Payments!$D:$D,Payments!$A:$A,$A11,Payments!$I:$I,"&lt;&gt;")</f>
        <v>4000.0</v>
      </c>
      <c r="H11" s="10">
        <v>46115</v>
      </c>
      <c r="I11" s="10">
        <v>46265</v>
      </c>
      <c r="J11" s="8" t="s">
        <v>29</v>
      </c>
      <c r="K11" s="10">
        <v>46113</v>
      </c>
      <c r="L11" s="8"/>
      <c r="M11" s="8"/>
      <c r="N11" s="8"/>
      <c r="O11" s="8"/>
      <c r="P11" s="10">
        <v>46266</v>
      </c>
      <c r="Q11" s="8"/>
      <c r="R11" s="8" t="s">
        <v>72</v>
      </c>
      <c r="S11" s="8" t="s">
        <v>33</v>
      </c>
      <c r="T11" s="8" t="str">
        <f>IF($A11="","",IF(AND(N11&lt;&gt;"",O11="",N11&lt;TODAY()),"Interim overdue "&amp;(TODAY()-N11)&amp;"d",IF(AND(P11&lt;&gt;"",Q11="",P11&lt;TODAY()),"Final overdue "&amp;(TODAY()-P11)&amp;"d",IF(AND(N11&lt;&gt;"",O11="",N11-TODAY()&lt;=30),"Interim due in "&amp;(N11-TODAY())&amp;"d",IF(AND(P11&lt;&gt;"",Q11="",P11-TODAY()&lt;=30),"Final due in "&amp;(P11-TODAY())&amp;"d","OK")))))</f>
        <v>Final overdue 27d</v>
      </c>
      <c r="U11" s="8">
        <f>IF($A11="","",IF(COUNTIFS(Payments!$A:$A,$A11,Payments!$J:$J,"Blocked*")&gt;0,"Payment blocked",IF(COUNTIFS(Payments!$A:$A,$A11,Payments!$J:$J,"Ready*")&gt;0,"Payment ready","")))</f>
        <v/>
      </c>
      <c r="V11" s="8" t="str">
        <f>IF($A11="","",IF(K11="","No DD date; ",IF(ISNUMBER(K11),IF(TODAY()-K11&gt;365,"DD over 12 months; ",""),"DD date unknown; "))&amp;IF(J11="","No agreement; ","")&amp;IF(M11="No","Condition open; ","")&amp;IF(OR(S11="Missing",S11="Partial"),"Evidence "&amp;LOWER(S11)&amp;"; ",""))</f>
        <v>Evidence missing; </v>
      </c>
      <c r="W11" s="8" t="str">
        <f>IF($A11="","",IF(OR(T11&lt;&gt;"OK",U11&lt;&gt;"",V11&lt;&gt;""),"Yes","No"))</f>
        <v>Yes</v>
      </c>
      <c r="X11" s="8"/>
    </row>
    <row r="12" spans="1:24">
      <c r="A12" s="8" t="s">
        <v>73</v>
      </c>
      <c r="B12" s="8" t="s">
        <v>74</v>
      </c>
      <c r="C12" s="8" t="s">
        <v>75</v>
      </c>
      <c r="D12" s="8" t="s">
        <v>27</v>
      </c>
      <c r="E12" s="8" t="s">
        <v>41</v>
      </c>
      <c r="F12" s="11">
        <v>8000</v>
      </c>
      <c r="G12" s="11">
        <f>SUMIFS(Payments!$D:$D,Payments!$A:$A,$A12,Payments!$I:$I,"&lt;&gt;")</f>
        <v>4000.0</v>
      </c>
      <c r="H12" s="10">
        <v>46143</v>
      </c>
      <c r="I12" s="10">
        <v>46507</v>
      </c>
      <c r="J12" s="8" t="s">
        <v>29</v>
      </c>
      <c r="K12" s="10">
        <v>46140</v>
      </c>
      <c r="L12" s="8"/>
      <c r="M12" s="8"/>
      <c r="N12" s="10">
        <v>46327</v>
      </c>
      <c r="O12" s="8"/>
      <c r="P12" s="10">
        <v>46507</v>
      </c>
      <c r="Q12" s="8"/>
      <c r="R12" s="8"/>
      <c r="S12" s="8"/>
      <c r="T12" s="8" t="str">
        <f>IF($A12="","",IF(AND(N12&lt;&gt;"",O12="",N12&lt;TODAY()),"Interim overdue "&amp;(TODAY()-N12)&amp;"d",IF(AND(P12&lt;&gt;"",Q12="",P12&lt;TODAY()),"Final overdue "&amp;(TODAY()-P12)&amp;"d",IF(AND(N12&lt;&gt;"",O12="",N12-TODAY()&lt;=30),"Interim due in "&amp;(N12-TODAY())&amp;"d",IF(AND(P12&lt;&gt;"",Q12="",P12-TODAY()&lt;=30),"Final due in "&amp;(P12-TODAY())&amp;"d","OK")))))</f>
        <v>OK</v>
      </c>
      <c r="U12" s="8">
        <f>IF($A12="","",IF(COUNTIFS(Payments!$A:$A,$A12,Payments!$J:$J,"Blocked*")&gt;0,"Payment blocked",IF(COUNTIFS(Payments!$A:$A,$A12,Payments!$J:$J,"Ready*")&gt;0,"Payment ready","")))</f>
        <v/>
      </c>
      <c r="V12" s="8">
        <f>IF($A12="","",IF(K12="","No DD date; ",IF(ISNUMBER(K12),IF(TODAY()-K12&gt;365,"DD over 12 months; ",""),"DD date unknown; "))&amp;IF(J12="","No agreement; ","")&amp;IF(M12="No","Condition open; ","")&amp;IF(OR(S12="Missing",S12="Partial"),"Evidence "&amp;LOWER(S12)&amp;"; ",""))</f>
        <v/>
      </c>
      <c r="W12" s="8" t="str">
        <f>IF($A12="","",IF(OR(T12&lt;&gt;"OK",U12&lt;&gt;"",V12&lt;&gt;""),"Yes","No"))</f>
        <v>No</v>
      </c>
      <c r="X12" s="8"/>
    </row>
    <row r="13" spans="1:24">
      <c r="A13" s="8" t="s">
        <v>76</v>
      </c>
      <c r="B13" s="8" t="s">
        <v>77</v>
      </c>
      <c r="C13" s="8" t="s">
        <v>78</v>
      </c>
      <c r="D13" s="8" t="s">
        <v>40</v>
      </c>
      <c r="E13" s="8" t="s">
        <v>41</v>
      </c>
      <c r="F13" s="11">
        <v>15000</v>
      </c>
      <c r="G13" s="11">
        <f>SUMIFS(Payments!$D:$D,Payments!$A:$A,$A13,Payments!$I:$I,"&lt;&gt;")</f>
        <v>5000.0</v>
      </c>
      <c r="H13" s="10">
        <v>46174</v>
      </c>
      <c r="I13" s="10">
        <v>46538</v>
      </c>
      <c r="J13" s="8" t="s">
        <v>29</v>
      </c>
      <c r="K13" s="10">
        <v>46172</v>
      </c>
      <c r="L13" s="8" t="s">
        <v>79</v>
      </c>
      <c r="M13" s="8" t="s">
        <v>43</v>
      </c>
      <c r="N13" s="10">
        <v>46280</v>
      </c>
      <c r="O13" s="8"/>
      <c r="P13" s="10">
        <v>46538</v>
      </c>
      <c r="Q13" s="8"/>
      <c r="R13" s="8"/>
      <c r="S13" s="8"/>
      <c r="T13" s="8" t="str">
        <f>IF($A13="","",IF(AND(N13&lt;&gt;"",O13="",N13&lt;TODAY()),"Interim overdue "&amp;(TODAY()-N13)&amp;"d",IF(AND(P13&lt;&gt;"",Q13="",P13&lt;TODAY()),"Final overdue "&amp;(TODAY()-P13)&amp;"d",IF(AND(N13&lt;&gt;"",O13="",N13-TODAY()&lt;=30),"Interim due in "&amp;(N13-TODAY())&amp;"d",IF(AND(P13&lt;&gt;"",Q13="",P13-TODAY()&lt;=30),"Final due in "&amp;(P13-TODAY())&amp;"d","OK")))))</f>
        <v>Interim overdue 13d</v>
      </c>
      <c r="U13" s="8" t="str">
        <f>IF($A13="","",IF(COUNTIFS(Payments!$A:$A,$A13,Payments!$J:$J,"Blocked*")&gt;0,"Payment blocked",IF(COUNTIFS(Payments!$A:$A,$A13,Payments!$J:$J,"Ready*")&gt;0,"Payment ready","")))</f>
        <v>Payment blocked</v>
      </c>
      <c r="V13" s="8" t="str">
        <f>IF($A13="","",IF(K13="","No DD date; ",IF(ISNUMBER(K13),IF(TODAY()-K13&gt;365,"DD over 12 months; ",""),"DD date unknown; "))&amp;IF(J13="","No agreement; ","")&amp;IF(M13="No","Condition open; ","")&amp;IF(OR(S13="Missing",S13="Partial"),"Evidence "&amp;LOWER(S13)&amp;"; ",""))</f>
        <v>Condition open; </v>
      </c>
      <c r="W13" s="8" t="str">
        <f>IF($A13="","",IF(OR(T13&lt;&gt;"OK",U13&lt;&gt;"",V13&lt;&gt;""),"Yes","No"))</f>
        <v>Yes</v>
      </c>
      <c r="X13" s="8"/>
    </row>
    <row r="14" spans="1:24">
      <c r="A14" s="8" t="s">
        <v>80</v>
      </c>
      <c r="B14" s="8" t="s">
        <v>81</v>
      </c>
      <c r="C14" s="8" t="s">
        <v>82</v>
      </c>
      <c r="D14" s="8" t="s">
        <v>40</v>
      </c>
      <c r="E14" s="8" t="s">
        <v>41</v>
      </c>
      <c r="F14" s="11">
        <v>9500</v>
      </c>
      <c r="G14" s="11">
        <f>SUMIFS(Payments!$D:$D,Payments!$A:$A,$A14,Payments!$I:$I,"&lt;&gt;")</f>
        <v>9500.0</v>
      </c>
      <c r="H14" s="10">
        <v>46193</v>
      </c>
      <c r="I14" s="10">
        <v>46568</v>
      </c>
      <c r="J14" s="8" t="s">
        <v>29</v>
      </c>
      <c r="K14" s="10">
        <v>46191</v>
      </c>
      <c r="L14" s="8" t="s">
        <v>83</v>
      </c>
      <c r="M14" s="8" t="s">
        <v>43</v>
      </c>
      <c r="N14" s="8"/>
      <c r="O14" s="8"/>
      <c r="P14" s="10">
        <v>46568</v>
      </c>
      <c r="Q14" s="8"/>
      <c r="R14" s="8"/>
      <c r="S14" s="8"/>
      <c r="T14" s="8" t="str">
        <f>IF($A14="","",IF(AND(N14&lt;&gt;"",O14="",N14&lt;TODAY()),"Interim overdue "&amp;(TODAY()-N14)&amp;"d",IF(AND(P14&lt;&gt;"",Q14="",P14&lt;TODAY()),"Final overdue "&amp;(TODAY()-P14)&amp;"d",IF(AND(N14&lt;&gt;"",O14="",N14-TODAY()&lt;=30),"Interim due in "&amp;(N14-TODAY())&amp;"d",IF(AND(P14&lt;&gt;"",Q14="",P14-TODAY()&lt;=30),"Final due in "&amp;(P14-TODAY())&amp;"d","OK")))))</f>
        <v>OK</v>
      </c>
      <c r="U14" s="8">
        <f>IF($A14="","",IF(COUNTIFS(Payments!$A:$A,$A14,Payments!$J:$J,"Blocked*")&gt;0,"Payment blocked",IF(COUNTIFS(Payments!$A:$A,$A14,Payments!$J:$J,"Ready*")&gt;0,"Payment ready","")))</f>
        <v/>
      </c>
      <c r="V14" s="8" t="str">
        <f>IF($A14="","",IF(K14="","No DD date; ",IF(ISNUMBER(K14),IF(TODAY()-K14&gt;365,"DD over 12 months; ",""),"DD date unknown; "))&amp;IF(J14="","No agreement; ","")&amp;IF(M14="No","Condition open; ","")&amp;IF(OR(S14="Missing",S14="Partial"),"Evidence "&amp;LOWER(S14)&amp;"; ",""))</f>
        <v>Condition open; </v>
      </c>
      <c r="W14" s="8" t="str">
        <f>IF($A14="","",IF(OR(T14&lt;&gt;"OK",U14&lt;&gt;"",V14&lt;&gt;""),"Yes","No"))</f>
        <v>Yes</v>
      </c>
      <c r="X14" s="8"/>
    </row>
    <row r="15" spans="1:24">
      <c r="A15" s="8" t="s">
        <v>84</v>
      </c>
      <c r="B15" s="8" t="s">
        <v>85</v>
      </c>
      <c r="C15" s="8" t="s">
        <v>86</v>
      </c>
      <c r="D15" s="8" t="s">
        <v>51</v>
      </c>
      <c r="E15" s="8" t="s">
        <v>52</v>
      </c>
      <c r="F15" s="11">
        <v>22000</v>
      </c>
      <c r="G15" s="11">
        <f>SUMIFS(Payments!$D:$D,Payments!$A:$A,$A15,Payments!$I:$I,"&lt;&gt;")</f>
        <v>22000.0</v>
      </c>
      <c r="H15" s="10">
        <v>46003</v>
      </c>
      <c r="I15" s="10">
        <v>46203</v>
      </c>
      <c r="J15" s="8" t="s">
        <v>29</v>
      </c>
      <c r="K15" s="10">
        <v>46001</v>
      </c>
      <c r="L15" s="8"/>
      <c r="M15" s="8"/>
      <c r="N15" s="8"/>
      <c r="O15" s="8"/>
      <c r="P15" s="10">
        <v>46203</v>
      </c>
      <c r="Q15" s="10">
        <v>46201</v>
      </c>
      <c r="R15" s="8" t="s">
        <v>87</v>
      </c>
      <c r="S15" s="8" t="s">
        <v>88</v>
      </c>
      <c r="T15" s="8" t="str">
        <f>IF($A15="","",IF(AND(N15&lt;&gt;"",O15="",N15&lt;TODAY()),"Interim overdue "&amp;(TODAY()-N15)&amp;"d",IF(AND(P15&lt;&gt;"",Q15="",P15&lt;TODAY()),"Final overdue "&amp;(TODAY()-P15)&amp;"d",IF(AND(N15&lt;&gt;"",O15="",N15-TODAY()&lt;=30),"Interim due in "&amp;(N15-TODAY())&amp;"d",IF(AND(P15&lt;&gt;"",Q15="",P15-TODAY()&lt;=30),"Final due in "&amp;(P15-TODAY())&amp;"d","OK")))))</f>
        <v>OK</v>
      </c>
      <c r="U15" s="8">
        <f>IF($A15="","",IF(COUNTIFS(Payments!$A:$A,$A15,Payments!$J:$J,"Blocked*")&gt;0,"Payment blocked",IF(COUNTIFS(Payments!$A:$A,$A15,Payments!$J:$J,"Ready*")&gt;0,"Payment ready","")))</f>
        <v/>
      </c>
      <c r="V15" s="8">
        <f>IF($A15="","",IF(K15="","No DD date; ",IF(ISNUMBER(K15),IF(TODAY()-K15&gt;365,"DD over 12 months; ",""),"DD date unknown; "))&amp;IF(J15="","No agreement; ","")&amp;IF(M15="No","Condition open; ","")&amp;IF(OR(S15="Missing",S15="Partial"),"Evidence "&amp;LOWER(S15)&amp;"; ",""))</f>
        <v/>
      </c>
      <c r="W15" s="8" t="str">
        <f>IF($A15="","",IF(OR(T15&lt;&gt;"OK",U15&lt;&gt;"",V15&lt;&gt;""),"Yes","No"))</f>
        <v>No</v>
      </c>
      <c r="X15" s="8" t="s">
        <v>89</v>
      </c>
    </row>
    <row r="16" spans="1:24">
      <c r="A16" s="8" t="s">
        <v>90</v>
      </c>
      <c r="B16" s="8" t="s">
        <v>91</v>
      </c>
      <c r="C16" s="8" t="s">
        <v>92</v>
      </c>
      <c r="D16" s="8" t="s">
        <v>64</v>
      </c>
      <c r="E16" s="8" t="s">
        <v>28</v>
      </c>
      <c r="F16" s="11">
        <v>3000</v>
      </c>
      <c r="G16" s="11">
        <f>SUMIFS(Payments!$D:$D,Payments!$A:$A,$A16,Payments!$I:$I,"&lt;&gt;")</f>
        <v>3000.0</v>
      </c>
      <c r="H16" s="10">
        <v>46280</v>
      </c>
      <c r="I16" s="10">
        <v>46477</v>
      </c>
      <c r="J16" s="8" t="s">
        <v>29</v>
      </c>
      <c r="K16" s="8"/>
      <c r="L16" s="8"/>
      <c r="M16" s="8"/>
      <c r="N16" s="8"/>
      <c r="O16" s="8"/>
      <c r="P16" s="10">
        <v>46507</v>
      </c>
      <c r="Q16" s="8"/>
      <c r="R16" s="8"/>
      <c r="S16" s="8"/>
      <c r="T16" s="8" t="str">
        <f>IF($A16="","",IF(AND(N16&lt;&gt;"",O16="",N16&lt;TODAY()),"Interim overdue "&amp;(TODAY()-N16)&amp;"d",IF(AND(P16&lt;&gt;"",Q16="",P16&lt;TODAY()),"Final overdue "&amp;(TODAY()-P16)&amp;"d",IF(AND(N16&lt;&gt;"",O16="",N16-TODAY()&lt;=30),"Interim due in "&amp;(N16-TODAY())&amp;"d",IF(AND(P16&lt;&gt;"",Q16="",P16-TODAY()&lt;=30),"Final due in "&amp;(P16-TODAY())&amp;"d","OK")))))</f>
        <v>OK</v>
      </c>
      <c r="U16" s="8">
        <f>IF($A16="","",IF(COUNTIFS(Payments!$A:$A,$A16,Payments!$J:$J,"Blocked*")&gt;0,"Payment blocked",IF(COUNTIFS(Payments!$A:$A,$A16,Payments!$J:$J,"Ready*")&gt;0,"Payment ready","")))</f>
        <v/>
      </c>
      <c r="V16" s="8" t="str">
        <f>IF($A16="","",IF(K16="","No DD date; ",IF(ISNUMBER(K16),IF(TODAY()-K16&gt;365,"DD over 12 months; ",""),"DD date unknown; "))&amp;IF(J16="","No agreement; ","")&amp;IF(M16="No","Condition open; ","")&amp;IF(OR(S16="Missing",S16="Partial"),"Evidence "&amp;LOWER(S16)&amp;"; ",""))</f>
        <v>No DD date; </v>
      </c>
      <c r="W16" s="8" t="str">
        <f>IF($A16="","",IF(OR(T16&lt;&gt;"OK",U16&lt;&gt;"",V16&lt;&gt;""),"Yes","No"))</f>
        <v>Yes</v>
      </c>
      <c r="X16" s="8" t="s">
        <v>93</v>
      </c>
    </row>
    <row r="17" spans="1:24">
      <c r="A17" s="8" t="s">
        <v>94</v>
      </c>
      <c r="B17" s="8" t="s">
        <v>95</v>
      </c>
      <c r="C17" s="8" t="s">
        <v>96</v>
      </c>
      <c r="D17" s="8" t="s">
        <v>27</v>
      </c>
      <c r="E17" s="8" t="s">
        <v>28</v>
      </c>
      <c r="F17" s="11">
        <v>20000</v>
      </c>
      <c r="G17" s="11">
        <f>SUMIFS(Payments!$D:$D,Payments!$A:$A,$A17,Payments!$I:$I,"&lt;&gt;")</f>
        <v>20000.0</v>
      </c>
      <c r="H17" s="10">
        <v>45931</v>
      </c>
      <c r="I17" s="10">
        <v>46295</v>
      </c>
      <c r="J17" s="8" t="s">
        <v>29</v>
      </c>
      <c r="K17" s="10">
        <v>45925</v>
      </c>
      <c r="L17" s="8"/>
      <c r="M17" s="8"/>
      <c r="N17" s="10">
        <v>46113</v>
      </c>
      <c r="O17" s="10">
        <v>46113</v>
      </c>
      <c r="P17" s="10">
        <v>46326</v>
      </c>
      <c r="Q17" s="8"/>
      <c r="R17" s="8" t="s">
        <v>97</v>
      </c>
      <c r="S17" s="8" t="s">
        <v>88</v>
      </c>
      <c r="T17" s="8" t="str">
        <f>IF($A17="","",IF(AND(N17&lt;&gt;"",O17="",N17&lt;TODAY()),"Interim overdue "&amp;(TODAY()-N17)&amp;"d",IF(AND(P17&lt;&gt;"",Q17="",P17&lt;TODAY()),"Final overdue "&amp;(TODAY()-P17)&amp;"d",IF(AND(N17&lt;&gt;"",O17="",N17-TODAY()&lt;=30),"Interim due in "&amp;(N17-TODAY())&amp;"d",IF(AND(P17&lt;&gt;"",Q17="",P17-TODAY()&lt;=30),"Final due in "&amp;(P17-TODAY())&amp;"d","OK")))))</f>
        <v>OK</v>
      </c>
      <c r="U17" s="8">
        <f>IF($A17="","",IF(COUNTIFS(Payments!$A:$A,$A17,Payments!$J:$J,"Blocked*")&gt;0,"Payment blocked",IF(COUNTIFS(Payments!$A:$A,$A17,Payments!$J:$J,"Ready*")&gt;0,"Payment ready","")))</f>
        <v/>
      </c>
      <c r="V17" s="8" t="str">
        <f>IF($A17="","",IF(K17="","No DD date; ",IF(ISNUMBER(K17),IF(TODAY()-K17&gt;365,"DD over 12 months; ",""),"DD date unknown; "))&amp;IF(J17="","No agreement; ","")&amp;IF(M17="No","Condition open; ","")&amp;IF(OR(S17="Missing",S17="Partial"),"Evidence "&amp;LOWER(S17)&amp;"; ",""))</f>
        <v>DD over 12 months; </v>
      </c>
      <c r="W17" s="8" t="str">
        <f>IF($A17="","",IF(OR(T17&lt;&gt;"OK",U17&lt;&gt;"",V17&lt;&gt;""),"Yes","No"))</f>
        <v>Yes</v>
      </c>
      <c r="X17" s="8"/>
    </row>
    <row r="18" spans="1:24">
      <c r="A18" s="8" t="s">
        <v>98</v>
      </c>
      <c r="B18" s="8" t="s">
        <v>99</v>
      </c>
      <c r="C18" s="8" t="s">
        <v>100</v>
      </c>
      <c r="D18" s="8" t="s">
        <v>27</v>
      </c>
      <c r="E18" s="8" t="s">
        <v>41</v>
      </c>
      <c r="F18" s="11">
        <v>6000</v>
      </c>
      <c r="G18" s="11">
        <f>SUMIFS(Payments!$D:$D,Payments!$A:$A,$A18,Payments!$I:$I,"&lt;&gt;")</f>
        <v>6000.0</v>
      </c>
      <c r="H18" s="10">
        <v>45931</v>
      </c>
      <c r="I18" s="10">
        <v>46295</v>
      </c>
      <c r="J18" s="8" t="s">
        <v>29</v>
      </c>
      <c r="K18" s="10">
        <v>45920</v>
      </c>
      <c r="L18" s="8"/>
      <c r="M18" s="8"/>
      <c r="N18" s="8"/>
      <c r="O18" s="8"/>
      <c r="P18" s="10">
        <v>46326</v>
      </c>
      <c r="Q18" s="8"/>
      <c r="R18" s="8"/>
      <c r="S18" s="8"/>
      <c r="T18" s="8" t="str">
        <f>IF($A18="","",IF(AND(N18&lt;&gt;"",O18="",N18&lt;TODAY()),"Interim overdue "&amp;(TODAY()-N18)&amp;"d",IF(AND(P18&lt;&gt;"",Q18="",P18&lt;TODAY()),"Final overdue "&amp;(TODAY()-P18)&amp;"d",IF(AND(N18&lt;&gt;"",O18="",N18-TODAY()&lt;=30),"Interim due in "&amp;(N18-TODAY())&amp;"d",IF(AND(P18&lt;&gt;"",Q18="",P18-TODAY()&lt;=30),"Final due in "&amp;(P18-TODAY())&amp;"d","OK")))))</f>
        <v>OK</v>
      </c>
      <c r="U18" s="8">
        <f>IF($A18="","",IF(COUNTIFS(Payments!$A:$A,$A18,Payments!$J:$J,"Blocked*")&gt;0,"Payment blocked",IF(COUNTIFS(Payments!$A:$A,$A18,Payments!$J:$J,"Ready*")&gt;0,"Payment ready","")))</f>
        <v/>
      </c>
      <c r="V18" s="8" t="str">
        <f>IF($A18="","",IF(K18="","No DD date; ",IF(ISNUMBER(K18),IF(TODAY()-K18&gt;365,"DD over 12 months; ",""),"DD date unknown; "))&amp;IF(J18="","No agreement; ","")&amp;IF(M18="No","Condition open; ","")&amp;IF(OR(S18="Missing",S18="Partial"),"Evidence "&amp;LOWER(S18)&amp;"; ",""))</f>
        <v>DD over 12 months; </v>
      </c>
      <c r="W18" s="8" t="str">
        <f>IF($A18="","",IF(OR(T18&lt;&gt;"OK",U18&lt;&gt;"",V18&lt;&gt;""),"Yes","No"))</f>
        <v>Yes</v>
      </c>
      <c r="X18" s="8"/>
    </row>
    <row r="19" spans="1:24">
      <c r="A19" s="8" t="s">
        <v>101</v>
      </c>
      <c r="B19" s="8" t="s">
        <v>102</v>
      </c>
      <c r="C19" s="8"/>
      <c r="D19" s="8" t="s">
        <v>40</v>
      </c>
      <c r="E19" s="8" t="s">
        <v>41</v>
      </c>
      <c r="F19" s="11">
        <v>7200</v>
      </c>
      <c r="G19" s="11">
        <f>SUMIFS(Payments!$D:$D,Payments!$A:$A,$A19,Payments!$I:$I,"&lt;&gt;")</f>
        <v>3600.0</v>
      </c>
      <c r="H19" s="10">
        <v>45940</v>
      </c>
      <c r="I19" s="10">
        <v>46304</v>
      </c>
      <c r="J19" s="8" t="s">
        <v>29</v>
      </c>
      <c r="K19" s="10">
        <v>45935</v>
      </c>
      <c r="L19" s="8"/>
      <c r="M19" s="8"/>
      <c r="N19" s="10">
        <v>46122</v>
      </c>
      <c r="O19" s="8"/>
      <c r="P19" s="10">
        <v>46335</v>
      </c>
      <c r="Q19" s="8"/>
      <c r="R19" s="8"/>
      <c r="S19" s="8"/>
      <c r="T19" s="8" t="str">
        <f>IF($A19="","",IF(AND(N19&lt;&gt;"",O19="",N19&lt;TODAY()),"Interim overdue "&amp;(TODAY()-N19)&amp;"d",IF(AND(P19&lt;&gt;"",Q19="",P19&lt;TODAY()),"Final overdue "&amp;(TODAY()-P19)&amp;"d",IF(AND(N19&lt;&gt;"",O19="",N19-TODAY()&lt;=30),"Interim due in "&amp;(N19-TODAY())&amp;"d",IF(AND(P19&lt;&gt;"",Q19="",P19-TODAY()&lt;=30),"Final due in "&amp;(P19-TODAY())&amp;"d","OK")))))</f>
        <v>Interim overdue 171d</v>
      </c>
      <c r="U19" s="8" t="str">
        <f>IF($A19="","",IF(COUNTIFS(Payments!$A:$A,$A19,Payments!$J:$J,"Blocked*")&gt;0,"Payment blocked",IF(COUNTIFS(Payments!$A:$A,$A19,Payments!$J:$J,"Ready*")&gt;0,"Payment ready","")))</f>
        <v>Payment blocked</v>
      </c>
      <c r="V19" s="8">
        <f>IF($A19="","",IF(K19="","No DD date; ",IF(ISNUMBER(K19),IF(TODAY()-K19&gt;365,"DD over 12 months; ",""),"DD date unknown; "))&amp;IF(J19="","No agreement; ","")&amp;IF(M19="No","Condition open; ","")&amp;IF(OR(S19="Missing",S19="Partial"),"Evidence "&amp;LOWER(S19)&amp;"; ",""))</f>
        <v/>
      </c>
      <c r="W19" s="8" t="str">
        <f>IF($A19="","",IF(OR(T19&lt;&gt;"OK",U19&lt;&gt;"",V19&lt;&gt;""),"Yes","No"))</f>
        <v>Yes</v>
      </c>
      <c r="X19" s="8" t="s">
        <v>103</v>
      </c>
    </row>
    <row r="20" spans="1:24">
      <c r="A20" s="8" t="s">
        <v>104</v>
      </c>
      <c r="B20" s="8" t="s">
        <v>57</v>
      </c>
      <c r="C20" s="8" t="s">
        <v>58</v>
      </c>
      <c r="D20" s="8" t="s">
        <v>51</v>
      </c>
      <c r="E20" s="8" t="s">
        <v>52</v>
      </c>
      <c r="F20" s="11">
        <v>3500</v>
      </c>
      <c r="G20" s="11">
        <f>SUMIFS(Payments!$D:$D,Payments!$A:$A,$A20,Payments!$I:$I,"&lt;&gt;")</f>
        <v>0</v>
      </c>
      <c r="H20" s="10">
        <v>46249</v>
      </c>
      <c r="I20" s="10">
        <v>46477</v>
      </c>
      <c r="J20" s="8" t="s">
        <v>29</v>
      </c>
      <c r="K20" s="10">
        <v>46071</v>
      </c>
      <c r="L20" s="8"/>
      <c r="M20" s="8"/>
      <c r="N20" s="8"/>
      <c r="O20" s="8"/>
      <c r="P20" s="10">
        <v>46477</v>
      </c>
      <c r="Q20" s="8"/>
      <c r="R20" s="8" t="s">
        <v>105</v>
      </c>
      <c r="S20" s="8" t="s">
        <v>88</v>
      </c>
      <c r="T20" s="8" t="str">
        <f>IF($A20="","",IF(AND(N20&lt;&gt;"",O20="",N20&lt;TODAY()),"Interim overdue "&amp;(TODAY()-N20)&amp;"d",IF(AND(P20&lt;&gt;"",Q20="",P20&lt;TODAY()),"Final overdue "&amp;(TODAY()-P20)&amp;"d",IF(AND(N20&lt;&gt;"",O20="",N20-TODAY()&lt;=30),"Interim due in "&amp;(N20-TODAY())&amp;"d",IF(AND(P20&lt;&gt;"",Q20="",P20-TODAY()&lt;=30),"Final due in "&amp;(P20-TODAY())&amp;"d","OK")))))</f>
        <v>OK</v>
      </c>
      <c r="U20" s="8" t="str">
        <f>IF($A20="","",IF(COUNTIFS(Payments!$A:$A,$A20,Payments!$J:$J,"Blocked*")&gt;0,"Payment blocked",IF(COUNTIFS(Payments!$A:$A,$A20,Payments!$J:$J,"Ready*")&gt;0,"Payment ready","")))</f>
        <v>Payment blocked</v>
      </c>
      <c r="V20" s="8">
        <f>IF($A20="","",IF(K20="","No DD date; ",IF(ISNUMBER(K20),IF(TODAY()-K20&gt;365,"DD over 12 months; ",""),"DD date unknown; "))&amp;IF(J20="","No agreement; ","")&amp;IF(M20="No","Condition open; ","")&amp;IF(OR(S20="Missing",S20="Partial"),"Evidence "&amp;LOWER(S20)&amp;"; ",""))</f>
        <v/>
      </c>
      <c r="W20" s="8" t="str">
        <f>IF($A20="","",IF(OR(T20&lt;&gt;"OK",U20&lt;&gt;"",V20&lt;&gt;""),"Yes","No"))</f>
        <v>Yes</v>
      </c>
      <c r="X20" s="8"/>
    </row>
  </sheetData>
  <autoFilter ref="A1:X20"/>
  <conditionalFormatting sqref="T2:T501">
    <cfRule type="containsText" dxfId="0" priority="1" operator="containsText" text="overdue">
      <formula>NOT(ISERROR(SEARCH("overdue",T2)))</formula>
    </cfRule>
    <cfRule type="containsText" dxfId="1" priority="2" operator="containsText" text="due in">
      <formula>NOT(ISERROR(SEARCH("due in",T2)))</formula>
    </cfRule>
  </conditionalFormatting>
  <conditionalFormatting sqref="U2:U501">
    <cfRule type="containsText" dxfId="0" priority="3" operator="containsText" text="blocked">
      <formula>NOT(ISERROR(SEARCH("blocked",U2)))</formula>
    </cfRule>
    <cfRule type="containsText" dxfId="1" priority="4" operator="containsText" text="ready">
      <formula>NOT(ISERROR(SEARCH("ready",U2)))</formula>
    </cfRule>
  </conditionalFormatting>
  <conditionalFormatting sqref="V2:V501">
    <cfRule type="expression" dxfId="1" priority="5">
      <formula>LEN($V2)&gt;0</formula>
    </cfRule>
  </conditionalFormatting>
  <conditionalFormatting sqref="W2:W501">
    <cfRule type="cellIs" dxfId="2" priority="6" operator="equal">
      <formula>"Yes"</formula>
    </cfRule>
  </conditionalFormatting>
  <dataValidations count="2">
    <dataValidation type="list" allowBlank="1" showInputMessage="1" showErrorMessage="1" sqref="M2:M501">
      <formula1>"Yes,No,N/A"</formula1>
    </dataValidation>
    <dataValidation type="list" allowBlank="1" showInputMessage="1" showErrorMessage="1" sqref="S2:S501">
      <formula1>"Received,Partial,Missing,Not required"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4"/>
  <sheetViews>
    <sheetView showGridLines="0" workbookViewId="0">
      <pane ySplit="1" topLeftCell="A2" activePane="bottomLeft" state="frozen"/>
      <selection pane="bottomLeft"/>
    </sheetView>
  </sheetViews>
  <sheetFormatPr defaultRowHeight="15"/>
  <cols>
    <col min="1" max="1" width="10.7109375" customWidth="1"/>
    <col min="2" max="2" width="12.7109375" customWidth="1"/>
    <col min="3" max="3" width="26.7109375" customWidth="1"/>
    <col min="4" max="4" width="16.7109375" customWidth="1"/>
    <col min="5" max="5" width="30.7109375" customWidth="1"/>
    <col min="6" max="6" width="46.7109375" customWidth="1"/>
    <col min="7" max="8" width="30.7109375" customWidth="1"/>
  </cols>
  <sheetData>
    <row r="1" spans="1:8">
      <c r="A1" s="7" t="s">
        <v>244</v>
      </c>
      <c r="B1" s="7" t="s">
        <v>0</v>
      </c>
      <c r="C1" s="7" t="s">
        <v>1</v>
      </c>
      <c r="D1" s="7" t="s">
        <v>245</v>
      </c>
      <c r="E1" s="7" t="s">
        <v>246</v>
      </c>
      <c r="F1" s="7" t="s">
        <v>247</v>
      </c>
      <c r="G1" s="7" t="s">
        <v>248</v>
      </c>
      <c r="H1" s="7" t="s">
        <v>249</v>
      </c>
    </row>
    <row r="2" spans="1:8">
      <c r="A2" s="8" t="s">
        <v>250</v>
      </c>
      <c r="B2" s="8" t="s">
        <v>35</v>
      </c>
      <c r="C2" s="8" t="s">
        <v>36</v>
      </c>
      <c r="D2" s="8" t="s">
        <v>251</v>
      </c>
      <c r="E2" s="8" t="s">
        <v>252</v>
      </c>
      <c r="F2" s="8" t="s">
        <v>253</v>
      </c>
      <c r="G2" s="8" t="s">
        <v>254</v>
      </c>
    </row>
    <row r="3" spans="1:8">
      <c r="A3" s="8" t="s">
        <v>255</v>
      </c>
      <c r="B3" s="8" t="s">
        <v>45</v>
      </c>
      <c r="C3" s="8" t="s">
        <v>46</v>
      </c>
      <c r="D3" s="8" t="s">
        <v>256</v>
      </c>
      <c r="E3" s="8" t="s">
        <v>47</v>
      </c>
      <c r="F3" s="8" t="s">
        <v>257</v>
      </c>
      <c r="G3" s="8"/>
    </row>
    <row r="4" spans="1:8">
      <c r="A4" s="8" t="s">
        <v>258</v>
      </c>
      <c r="B4" s="8" t="s">
        <v>48</v>
      </c>
      <c r="C4" s="8" t="s">
        <v>49</v>
      </c>
      <c r="D4" s="8" t="s">
        <v>259</v>
      </c>
      <c r="E4" s="8" t="s">
        <v>260</v>
      </c>
      <c r="F4" s="8" t="s">
        <v>261</v>
      </c>
      <c r="G4" s="8" t="s">
        <v>262</v>
      </c>
    </row>
    <row r="5" spans="1:8">
      <c r="A5" s="8" t="s">
        <v>263</v>
      </c>
      <c r="B5" s="8" t="s">
        <v>56</v>
      </c>
      <c r="C5" s="8" t="s">
        <v>57</v>
      </c>
      <c r="D5" s="8" t="s">
        <v>264</v>
      </c>
      <c r="E5" s="8" t="s">
        <v>59</v>
      </c>
      <c r="F5" s="8" t="s">
        <v>265</v>
      </c>
      <c r="G5" s="8"/>
    </row>
    <row r="6" spans="1:8">
      <c r="A6" s="8" t="s">
        <v>263</v>
      </c>
      <c r="B6" s="8" t="s">
        <v>56</v>
      </c>
      <c r="C6" s="8" t="s">
        <v>57</v>
      </c>
      <c r="D6" s="8" t="s">
        <v>256</v>
      </c>
      <c r="E6" s="8" t="s">
        <v>60</v>
      </c>
      <c r="F6" s="8" t="s">
        <v>257</v>
      </c>
      <c r="G6" s="8"/>
    </row>
    <row r="7" spans="1:8">
      <c r="A7" s="8" t="s">
        <v>266</v>
      </c>
      <c r="B7" s="8" t="s">
        <v>65</v>
      </c>
      <c r="C7" s="8" t="s">
        <v>267</v>
      </c>
      <c r="D7" s="8" t="s">
        <v>268</v>
      </c>
      <c r="E7" s="8" t="s">
        <v>269</v>
      </c>
      <c r="F7" s="8" t="s">
        <v>270</v>
      </c>
      <c r="G7" s="8" t="s">
        <v>271</v>
      </c>
    </row>
    <row r="8" spans="1:8">
      <c r="A8" s="8" t="s">
        <v>272</v>
      </c>
      <c r="B8" s="8" t="s">
        <v>70</v>
      </c>
      <c r="C8" s="8" t="s">
        <v>71</v>
      </c>
      <c r="D8" s="8" t="s">
        <v>264</v>
      </c>
      <c r="E8" s="8" t="s">
        <v>72</v>
      </c>
      <c r="F8" s="8" t="s">
        <v>265</v>
      </c>
      <c r="G8" s="8"/>
    </row>
    <row r="9" spans="1:8">
      <c r="A9" s="8" t="s">
        <v>272</v>
      </c>
      <c r="B9" s="8" t="s">
        <v>70</v>
      </c>
      <c r="C9" s="8" t="s">
        <v>71</v>
      </c>
      <c r="D9" s="8" t="s">
        <v>273</v>
      </c>
      <c r="E9" s="8"/>
      <c r="F9" s="8" t="s">
        <v>274</v>
      </c>
      <c r="G9" s="8"/>
    </row>
    <row r="10" spans="1:8">
      <c r="A10" s="8" t="s">
        <v>275</v>
      </c>
      <c r="B10" s="8" t="s">
        <v>80</v>
      </c>
      <c r="C10" s="8" t="s">
        <v>81</v>
      </c>
      <c r="D10" s="8" t="s">
        <v>276</v>
      </c>
      <c r="E10" s="8" t="s">
        <v>277</v>
      </c>
      <c r="F10" s="8" t="s">
        <v>278</v>
      </c>
      <c r="G10" s="8" t="s">
        <v>279</v>
      </c>
    </row>
    <row r="11" spans="1:8">
      <c r="A11" s="8" t="s">
        <v>280</v>
      </c>
      <c r="B11" s="8" t="s">
        <v>101</v>
      </c>
      <c r="C11" s="8" t="s">
        <v>102</v>
      </c>
      <c r="D11" s="8" t="s">
        <v>256</v>
      </c>
      <c r="E11" s="8" t="s">
        <v>103</v>
      </c>
      <c r="F11" s="8" t="s">
        <v>257</v>
      </c>
      <c r="G11" s="8"/>
    </row>
    <row r="12" spans="1:8">
      <c r="A12" s="8" t="s">
        <v>281</v>
      </c>
      <c r="B12" s="8"/>
      <c r="C12" s="8" t="s">
        <v>176</v>
      </c>
      <c r="D12" s="8" t="s">
        <v>282</v>
      </c>
      <c r="E12" s="8"/>
      <c r="F12" s="8" t="s">
        <v>283</v>
      </c>
      <c r="G12" s="8" t="s">
        <v>284</v>
      </c>
    </row>
    <row r="13" spans="1:8">
      <c r="A13" s="8" t="s">
        <v>285</v>
      </c>
      <c r="B13" s="8" t="s">
        <v>61</v>
      </c>
      <c r="C13" s="8" t="s">
        <v>62</v>
      </c>
      <c r="D13" s="8" t="s">
        <v>286</v>
      </c>
      <c r="E13" s="8" t="s">
        <v>287</v>
      </c>
      <c r="F13" s="8" t="s">
        <v>288</v>
      </c>
      <c r="G13" s="8" t="s">
        <v>289</v>
      </c>
    </row>
    <row r="14" spans="1:8">
      <c r="A14" s="8" t="s">
        <v>290</v>
      </c>
      <c r="B14" s="8" t="s">
        <v>24</v>
      </c>
      <c r="C14" s="8" t="s">
        <v>25</v>
      </c>
      <c r="D14" s="8" t="s">
        <v>286</v>
      </c>
      <c r="E14" s="8" t="s">
        <v>291</v>
      </c>
      <c r="F14" s="8" t="s">
        <v>292</v>
      </c>
      <c r="G14" s="8" t="s">
        <v>293</v>
      </c>
    </row>
    <row r="15" spans="1:8">
      <c r="A15" s="8"/>
      <c r="B15" s="8"/>
      <c r="C15" s="8"/>
      <c r="D15" s="8" t="s">
        <v>273</v>
      </c>
      <c r="E15" s="8" t="s">
        <v>294</v>
      </c>
      <c r="F15" s="8" t="s">
        <v>295</v>
      </c>
      <c r="G15" s="8" t="s">
        <v>296</v>
      </c>
    </row>
    <row r="16" spans="1:8">
      <c r="A16" s="8"/>
      <c r="B16" s="8"/>
      <c r="C16" s="8"/>
      <c r="D16" s="8" t="s">
        <v>273</v>
      </c>
      <c r="E16" s="8" t="s">
        <v>297</v>
      </c>
      <c r="F16" s="8" t="s">
        <v>295</v>
      </c>
      <c r="G16" s="8" t="s">
        <v>298</v>
      </c>
    </row>
    <row r="17" spans="1:7">
      <c r="A17" s="8"/>
      <c r="B17" s="8"/>
      <c r="C17" s="8"/>
      <c r="D17" s="8" t="s">
        <v>273</v>
      </c>
      <c r="E17" s="8" t="s">
        <v>299</v>
      </c>
      <c r="F17" s="8" t="s">
        <v>295</v>
      </c>
      <c r="G17" s="8" t="s">
        <v>300</v>
      </c>
    </row>
    <row r="18" spans="1:7">
      <c r="A18" s="8"/>
      <c r="B18" s="8"/>
      <c r="C18" s="8"/>
      <c r="D18" s="8" t="s">
        <v>301</v>
      </c>
      <c r="E18" s="8" t="s">
        <v>302</v>
      </c>
      <c r="F18" s="8" t="s">
        <v>303</v>
      </c>
      <c r="G18" s="8" t="s">
        <v>304</v>
      </c>
    </row>
    <row r="19" spans="1:7">
      <c r="A19" s="8"/>
      <c r="B19" s="8"/>
      <c r="C19" s="8"/>
      <c r="D19" s="8" t="s">
        <v>301</v>
      </c>
      <c r="E19" s="8" t="s">
        <v>305</v>
      </c>
      <c r="F19" s="8" t="s">
        <v>303</v>
      </c>
      <c r="G19" s="8" t="s">
        <v>306</v>
      </c>
    </row>
    <row r="20" spans="1:7">
      <c r="A20" s="8"/>
      <c r="B20" s="8"/>
      <c r="C20" s="8"/>
      <c r="D20" s="8" t="s">
        <v>301</v>
      </c>
      <c r="E20" s="8" t="s">
        <v>307</v>
      </c>
      <c r="F20" s="8" t="s">
        <v>303</v>
      </c>
      <c r="G20" s="8" t="s">
        <v>308</v>
      </c>
    </row>
    <row r="21" spans="1:7">
      <c r="A21" s="8" t="s">
        <v>258</v>
      </c>
      <c r="B21" s="8" t="s">
        <v>48</v>
      </c>
      <c r="C21" s="8" t="s">
        <v>49</v>
      </c>
      <c r="D21" s="8" t="s">
        <v>309</v>
      </c>
      <c r="E21" s="8" t="s">
        <v>310</v>
      </c>
      <c r="F21" s="8" t="s">
        <v>311</v>
      </c>
      <c r="G21" s="8" t="s">
        <v>312</v>
      </c>
    </row>
    <row r="22" spans="1:7">
      <c r="A22" s="8" t="s">
        <v>313</v>
      </c>
      <c r="B22" s="8" t="s">
        <v>76</v>
      </c>
      <c r="C22" s="8" t="s">
        <v>77</v>
      </c>
      <c r="D22" s="8" t="s">
        <v>309</v>
      </c>
      <c r="E22" s="8" t="s">
        <v>314</v>
      </c>
      <c r="F22" s="8" t="s">
        <v>315</v>
      </c>
      <c r="G22" s="8" t="s">
        <v>316</v>
      </c>
    </row>
    <row r="23" spans="1:7">
      <c r="A23" s="8"/>
      <c r="B23" s="8"/>
      <c r="C23" s="8"/>
      <c r="D23" s="8" t="s">
        <v>317</v>
      </c>
      <c r="E23" s="8" t="s">
        <v>318</v>
      </c>
      <c r="F23" s="8" t="s">
        <v>319</v>
      </c>
      <c r="G23" s="8" t="s">
        <v>320</v>
      </c>
    </row>
    <row r="24" spans="1:7">
      <c r="A24" s="8" t="s">
        <v>266</v>
      </c>
      <c r="B24" s="8" t="s">
        <v>65</v>
      </c>
      <c r="C24" s="8" t="s">
        <v>267</v>
      </c>
      <c r="D24" s="8" t="s">
        <v>286</v>
      </c>
      <c r="E24" s="8" t="s">
        <v>321</v>
      </c>
      <c r="F24" s="8" t="s">
        <v>322</v>
      </c>
      <c r="G24" s="8"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13"/>
  <sheetViews>
    <sheetView showGridLines="0" workbookViewId="0"/>
  </sheetViews>
  <sheetFormatPr defaultRowHeight="15"/>
  <cols>
    <col min="1" max="1" width="110.7109375" customWidth="1"/>
  </cols>
  <sheetData>
    <row r="1" spans="1:1">
      <c r="A1" s="1" t="s">
        <v>324</v>
      </c>
    </row>
    <row r="3" spans="1:1">
      <c r="A3" s="8" t="s">
        <v>325</v>
      </c>
    </row>
    <row r="5" spans="1:1">
      <c r="A5" s="8" t="s">
        <v>326</v>
      </c>
    </row>
    <row r="7" spans="1:1">
      <c r="A7" s="8" t="s">
        <v>327</v>
      </c>
    </row>
    <row r="9" spans="1:1">
      <c r="A9" s="8" t="s">
        <v>328</v>
      </c>
    </row>
    <row r="11" spans="1:1">
      <c r="A11" s="8" t="s">
        <v>329</v>
      </c>
    </row>
    <row r="13" spans="1:1">
      <c r="A13" s="8"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Needs attention</vt:lpstr>
      <vt:lpstr>Payments</vt:lpstr>
      <vt:lpstr>Grant register</vt:lpstr>
      <vt:lpstr>Data questions</vt:lpstr>
      <vt:lpstr>How to use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Post-award control workbook — Northbridge Foundation (synthetic)</dc:title>
  <dc:creator>Grant Post-Award Ops</dc:creator>
  <cp:lastModifiedBy>Grant Post-Award Ops</cp:lastModifiedBy>
  <dcterms:created xsi:type="dcterms:W3CDTF">2026-09-27T17:40:48Z</dcterms:created>
  <dcterms:modified xsi:type="dcterms:W3CDTF">2026-09-27T17:40:48Z</dcterms:modified>
</cp:coreProperties>
</file>